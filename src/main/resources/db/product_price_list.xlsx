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91fa9fea0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fc90cc5234e94ed7"/>
    <x:sheet xmlns:r="http://schemas.openxmlformats.org/officeDocument/2006/relationships" name="Summary" sheetId="2" r:id="Rba5ba97193f2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0.00%"/>
    <x:numFmt numFmtId="203" formatCode="0"/>
  </x:numFmts>
  <x:fonts count="5">
    <x:font>
      <x:sz val="11"/>
      <x:name val="Carlito"/>
    </x:font>
    <x:font>
      <x:b/>
      <x:sz val="16"/>
      <x:color rgb="FFFFFF"/>
      <x:name val="Carlito"/>
    </x:font>
    <x:font>
      <x:i/>
      <x:sz val="10"/>
      <x:color rgb="1F1F1F"/>
      <x:name val="Carlito"/>
    </x:font>
    <x:font>
      <x:b/>
      <x:sz val="11"/>
      <x:color rgb="FFFFFF"/>
      <x:name val="Carlito"/>
    </x:font>
    <x:font>
      <x:b/>
      <x:sz val="11"/>
      <x:color rgb="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2F75B5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b6bc17a784ab3" /><Relationship Type="http://schemas.openxmlformats.org/officeDocument/2006/relationships/theme" Target="/xl/theme/theme1.xml" Id="Rd44bf7e25fec4a1c" /><Relationship Type="http://schemas.openxmlformats.org/officeDocument/2006/relationships/sharedStrings" Target="/xl/sharedStrings.xml" Id="R9dbbd0ae2e27472c" /><Relationship Type="http://schemas.openxmlformats.org/officeDocument/2006/relationships/worksheet" Target="/xl/worksheets/sheet1.xml" Id="Rfc90cc5234e94ed7" /><Relationship Type="http://schemas.openxmlformats.org/officeDocument/2006/relationships/worksheet" Target="/xl/worksheets/sheet2.xml" Id="Rba5ba97193f244ff" /></Relationships>
</file>

<file path=xl/tables/table1.xml><?xml version="1.0" encoding="utf-8"?>
<x:table xmlns:x="http://schemas.openxmlformats.org/spreadsheetml/2006/main" id="1" name="ProductsTable" displayName="ProductsTable" ref="A4:G174" headerRowCount="1">
  <x:tableColumns count="7">
    <x:tableColumn id="1" name="No"/>
    <x:tableColumn id="2" name="Product Name"/>
    <x:tableColumn id="3" name="Barcode"/>
    <x:tableColumn id="4" name="Buying Price"/>
    <x:tableColumn id="5" name="Selling Price"/>
    <x:tableColumn id="6" name="Profit"/>
    <x:tableColumn id="7" name="Markup %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4f540b89924ad6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</x:cols>
  <x:sheetData>
    <x:row r="1" ht="24" customHeight="1">
      <x:c r="A1" s="4" t="str">
        <x:v>Product Price List</x:v>
      </x:c>
      <x:c r="B1" s="4"/>
      <x:c r="C1" s="4"/>
      <x:c r="D1" s="4"/>
      <x:c r="E1" s="4"/>
      <x:c r="F1" s="4"/>
      <x:c r="G1" s="4"/>
    </x:row>
    <x:row r="2" ht="24" customHeight="1">
      <x:c r="A2" s="6" t="str">
        <x:v>Prepared from uploaded product list; cleaned 1 duplicate entry and kept the more specific product name.</x:v>
      </x:c>
      <x:c r="B2" s="6"/>
      <x:c r="C2" s="6"/>
      <x:c r="D2" s="6"/>
      <x:c r="E2" s="6"/>
      <x:c r="F2" s="6"/>
      <x:c r="G2" s="6"/>
    </x:row>
    <x:row r="4" ht="20" customHeight="1">
      <x:c r="A4" s="10" t="str">
        <x:v>No</x:v>
      </x:c>
      <x:c r="B4" s="10" t="str">
        <x:v>Product Name</x:v>
      </x:c>
      <x:c r="C4" s="10" t="str">
        <x:v>Barcode</x:v>
      </x:c>
      <x:c r="D4" s="10" t="str">
        <x:v>Buying Price</x:v>
      </x:c>
      <x:c r="E4" s="10" t="str">
        <x:v>Selling Price</x:v>
      </x:c>
      <x:c r="F4" s="10" t="str">
        <x:v>Profit</x:v>
      </x:c>
      <x:c r="G4" s="10" t="str">
        <x:v>Markup %</x:v>
      </x:c>
    </x:row>
    <x:row r="5" ht="20" customHeight="1">
      <x:c r="A5" s="15" t="n">
        <x:v>1</x:v>
      </x:c>
      <x:c r="B5" s="11" t="str">
        <x:v>Summit Natural Drinking Water 1000ml</x:v>
      </x:c>
      <x:c r="C5" s="27" t="n">
        <x:v>4800014142088</x:v>
      </x:c>
      <x:c r="D5" s="13" t="n">
        <x:v>15</x:v>
      </x:c>
      <x:c r="E5" s="13" t="n">
        <x:v>18.5</x:v>
      </x:c>
      <x:c r="F5" s="13" t="n">
        <x:f>E5-D5</x:f>
        <x:v>3.5</x:v>
      </x:c>
      <x:c r="G5" s="14" t="n">
        <x:f>IF(D5=0,"",F5/D5)</x:f>
        <x:v>0.23333333333333334</x:v>
      </x:c>
    </x:row>
    <x:row r="6" ht="20" customHeight="1">
      <x:c r="A6" s="15" t="n">
        <x:v>2</x:v>
      </x:c>
      <x:c r="B6" s="11" t="str">
        <x:v>Summit Natural Drinking Water 500ml</x:v>
      </x:c>
      <x:c r="C6" s="27" t="n">
        <x:v>4800014142064</x:v>
      </x:c>
      <x:c r="D6" s="13" t="n">
        <x:v>8.5</x:v>
      </x:c>
      <x:c r="E6" s="13" t="n">
        <x:v>11</x:v>
      </x:c>
      <x:c r="F6" s="13" t="n">
        <x:f>E6-D6</x:f>
        <x:v>2.5</x:v>
      </x:c>
      <x:c r="G6" s="14" t="n">
        <x:f>IF(D6=0,"",F6/D6)</x:f>
        <x:v>0.29411764705882354</x:v>
      </x:c>
    </x:row>
    <x:row r="7" ht="20" customHeight="1">
      <x:c r="A7" s="15" t="n">
        <x:v>3</x:v>
      </x:c>
      <x:c r="B7" s="11" t="str">
        <x:v>Refresh Mineral Water 500ml</x:v>
      </x:c>
      <x:c r="C7" s="27" t="n">
        <x:v>4800014143000</x:v>
      </x:c>
      <x:c r="D7" s="13" t="n">
        <x:v>6.5</x:v>
      </x:c>
      <x:c r="E7" s="13" t="n">
        <x:v>8.25</x:v>
      </x:c>
      <x:c r="F7" s="13" t="n">
        <x:f>E7-D7</x:f>
        <x:v>1.75</x:v>
      </x:c>
      <x:c r="G7" s="14" t="n">
        <x:f>IF(D7=0,"",F7/D7)</x:f>
        <x:v>0.2692307692307692</x:v>
      </x:c>
    </x:row>
    <x:row r="8" ht="20" customHeight="1">
      <x:c r="A8" s="15" t="n">
        <x:v>4</x:v>
      </x:c>
      <x:c r="B8" s="11" t="str">
        <x:v>Lucky Me Pancit Canton Original 80g</x:v>
      </x:c>
      <x:c r="C8" s="27" t="n">
        <x:v>4807770270001</x:v>
      </x:c>
      <x:c r="D8" s="13" t="n">
        <x:v>12</x:v>
      </x:c>
      <x:c r="E8" s="13" t="n">
        <x:v>15</x:v>
      </x:c>
      <x:c r="F8" s="13" t="n">
        <x:f>E8-D8</x:f>
        <x:v>3</x:v>
      </x:c>
      <x:c r="G8" s="14" t="n">
        <x:f>IF(D8=0,"",F8/D8)</x:f>
        <x:v>0.25</x:v>
      </x:c>
    </x:row>
    <x:row r="9" ht="20" customHeight="1">
      <x:c r="A9" s="15" t="n">
        <x:v>5</x:v>
      </x:c>
      <x:c r="B9" s="11" t="str">
        <x:v>Lucky Me Beef Noodles 55g</x:v>
      </x:c>
      <x:c r="C9" s="27" t="n">
        <x:v>4807770270025</x:v>
      </x:c>
      <x:c r="D9" s="13" t="n">
        <x:v>9.5</x:v>
      </x:c>
      <x:c r="E9" s="13" t="n">
        <x:v>12</x:v>
      </x:c>
      <x:c r="F9" s="13" t="n">
        <x:f>E9-D9</x:f>
        <x:v>2.5</x:v>
      </x:c>
      <x:c r="G9" s="14" t="n">
        <x:f>IF(D9=0,"",F9/D9)</x:f>
        <x:v>0.2631578947368421</x:v>
      </x:c>
    </x:row>
    <x:row r="10" ht="20" customHeight="1">
      <x:c r="A10" s="15" t="n">
        <x:v>6</x:v>
      </x:c>
      <x:c r="B10" s="11" t="str">
        <x:v>Nescafe Classic 40g</x:v>
      </x:c>
      <x:c r="C10" s="27" t="n">
        <x:v>4800361410102</x:v>
      </x:c>
      <x:c r="D10" s="13" t="n">
        <x:v>42</x:v>
      </x:c>
      <x:c r="E10" s="13" t="n">
        <x:v>48</x:v>
      </x:c>
      <x:c r="F10" s="13" t="n">
        <x:f>E10-D10</x:f>
        <x:v>6</x:v>
      </x:c>
      <x:c r="G10" s="14" t="n">
        <x:f>IF(D10=0,"",F10/D10)</x:f>
        <x:v>0.14285714285714285</x:v>
      </x:c>
    </x:row>
    <x:row r="11" ht="20" customHeight="1">
      <x:c r="A11" s="15" t="n">
        <x:v>7</x:v>
      </x:c>
      <x:c r="B11" s="11" t="str">
        <x:v>Nescafe Classic 80g</x:v>
      </x:c>
      <x:c r="C11" s="27" t="n">
        <x:v>4800361410201</x:v>
      </x:c>
      <x:c r="D11" s="13" t="n">
        <x:v>85</x:v>
      </x:c>
      <x:c r="E11" s="13" t="n">
        <x:v>94</x:v>
      </x:c>
      <x:c r="F11" s="13" t="n">
        <x:f>E11-D11</x:f>
        <x:v>9</x:v>
      </x:c>
      <x:c r="G11" s="14" t="n">
        <x:f>IF(D11=0,"",F11/D11)</x:f>
        <x:v>0.10588235294117647</x:v>
      </x:c>
    </x:row>
    <x:row r="12" ht="20" customHeight="1">
      <x:c r="A12" s="15" t="n">
        <x:v>8</x:v>
      </x:c>
      <x:c r="B12" s="11" t="str">
        <x:v>Great Taste Coffee Granules 100g</x:v>
      </x:c>
      <x:c r="C12" s="27" t="n">
        <x:v>4800361410300</x:v>
      </x:c>
      <x:c r="D12" s="13" t="n">
        <x:v>80</x:v>
      </x:c>
      <x:c r="E12" s="13" t="n">
        <x:v>93</x:v>
      </x:c>
      <x:c r="F12" s="13" t="n">
        <x:f>E12-D12</x:f>
        <x:v>13</x:v>
      </x:c>
      <x:c r="G12" s="14" t="n">
        <x:f>IF(D12=0,"",F12/D12)</x:f>
        <x:v>0.1625</x:v>
      </x:c>
    </x:row>
    <x:row r="13" ht="20" customHeight="1">
      <x:c r="A13" s="15" t="n">
        <x:v>9</x:v>
      </x:c>
      <x:c r="B13" s="11" t="str">
        <x:v>Bear Brand Powdered Milk 300g</x:v>
      </x:c>
      <x:c r="C13" s="27" t="n">
        <x:v>4800361410409</x:v>
      </x:c>
      <x:c r="D13" s="13" t="n">
        <x:v>120</x:v>
      </x:c>
      <x:c r="E13" s="13" t="n">
        <x:v>135</x:v>
      </x:c>
      <x:c r="F13" s="13" t="n">
        <x:f>E13-D13</x:f>
        <x:v>15</x:v>
      </x:c>
      <x:c r="G13" s="14" t="n">
        <x:f>IF(D13=0,"",F13/D13)</x:f>
        <x:v>0.125</x:v>
      </x:c>
    </x:row>
    <x:row r="14" ht="20" customHeight="1">
      <x:c r="A14" s="15" t="n">
        <x:v>10</x:v>
      </x:c>
      <x:c r="B14" s="11" t="str">
        <x:v>Alaska Evaporated Milk 370ml</x:v>
      </x:c>
      <x:c r="C14" s="27" t="n">
        <x:v>4800361410508</x:v>
      </x:c>
      <x:c r="D14" s="13" t="n">
        <x:v>32</x:v>
      </x:c>
      <x:c r="E14" s="13" t="n">
        <x:v>38</x:v>
      </x:c>
      <x:c r="F14" s="13" t="n">
        <x:f>E14-D14</x:f>
        <x:v>6</x:v>
      </x:c>
      <x:c r="G14" s="14" t="n">
        <x:f>IF(D14=0,"",F14/D14)</x:f>
        <x:v>0.1875</x:v>
      </x:c>
    </x:row>
    <x:row r="15" ht="20" customHeight="1">
      <x:c r="A15" s="15" t="n">
        <x:v>11</x:v>
      </x:c>
      <x:c r="B15" s="11" t="str">
        <x:v>Alaska Condensed Milk 300ml</x:v>
      </x:c>
      <x:c r="C15" s="27" t="n">
        <x:v>4800361410607</x:v>
      </x:c>
      <x:c r="D15" s="13" t="n">
        <x:v>30</x:v>
      </x:c>
      <x:c r="E15" s="13" t="n">
        <x:v>36</x:v>
      </x:c>
      <x:c r="F15" s="13" t="n">
        <x:f>E15-D15</x:f>
        <x:v>6</x:v>
      </x:c>
      <x:c r="G15" s="14" t="n">
        <x:f>IF(D15=0,"",F15/D15)</x:f>
        <x:v>0.2</x:v>
      </x:c>
    </x:row>
    <x:row r="16" ht="20" customHeight="1">
      <x:c r="A16" s="15" t="n">
        <x:v>12</x:v>
      </x:c>
      <x:c r="B16" s="11" t="str">
        <x:v>Royal Tru Orange 1.5L</x:v>
      </x:c>
      <x:c r="C16" s="27" t="n">
        <x:v>4800361410706</x:v>
      </x:c>
      <x:c r="D16" s="13" t="n">
        <x:v>55</x:v>
      </x:c>
      <x:c r="E16" s="13" t="n">
        <x:v>65</x:v>
      </x:c>
      <x:c r="F16" s="13" t="n">
        <x:f>E16-D16</x:f>
        <x:v>10</x:v>
      </x:c>
      <x:c r="G16" s="14" t="n">
        <x:f>IF(D16=0,"",F16/D16)</x:f>
        <x:v>0.18181818181818182</x:v>
      </x:c>
    </x:row>
    <x:row r="17" ht="20" customHeight="1">
      <x:c r="A17" s="15" t="n">
        <x:v>13</x:v>
      </x:c>
      <x:c r="B17" s="11" t="str">
        <x:v>Coca-Cola 1.5L</x:v>
      </x:c>
      <x:c r="C17" s="27" t="n">
        <x:v>4800016001010</x:v>
      </x:c>
      <x:c r="D17" s="13" t="n">
        <x:v>60</x:v>
      </x:c>
      <x:c r="E17" s="13" t="n">
        <x:v>72</x:v>
      </x:c>
      <x:c r="F17" s="13" t="n">
        <x:f>E17-D17</x:f>
        <x:v>12</x:v>
      </x:c>
      <x:c r="G17" s="14" t="n">
        <x:f>IF(D17=0,"",F17/D17)</x:f>
        <x:v>0.2</x:v>
      </x:c>
    </x:row>
    <x:row r="18" ht="20" customHeight="1">
      <x:c r="A18" s="15" t="n">
        <x:v>14</x:v>
      </x:c>
      <x:c r="B18" s="11" t="str">
        <x:v>Sprite 1.5L</x:v>
      </x:c>
      <x:c r="C18" s="27" t="n">
        <x:v>4800016001027</x:v>
      </x:c>
      <x:c r="D18" s="13" t="n">
        <x:v>60</x:v>
      </x:c>
      <x:c r="E18" s="13" t="n">
        <x:v>72</x:v>
      </x:c>
      <x:c r="F18" s="13" t="n">
        <x:f>E18-D18</x:f>
        <x:v>12</x:v>
      </x:c>
      <x:c r="G18" s="14" t="n">
        <x:f>IF(D18=0,"",F18/D18)</x:f>
        <x:v>0.2</x:v>
      </x:c>
    </x:row>
    <x:row r="19" ht="20" customHeight="1">
      <x:c r="A19" s="15" t="n">
        <x:v>15</x:v>
      </x:c>
      <x:c r="B19" s="11" t="str">
        <x:v>Safeguard Soap White 135g</x:v>
      </x:c>
      <x:c r="C19" s="27" t="n">
        <x:v>4800361410805</x:v>
      </x:c>
      <x:c r="D19" s="13" t="n">
        <x:v>28</x:v>
      </x:c>
      <x:c r="E19" s="13" t="n">
        <x:v>34</x:v>
      </x:c>
      <x:c r="F19" s="13" t="n">
        <x:f>E19-D19</x:f>
        <x:v>6</x:v>
      </x:c>
      <x:c r="G19" s="14" t="n">
        <x:f>IF(D19=0,"",F19/D19)</x:f>
        <x:v>0.21428571428571427</x:v>
      </x:c>
    </x:row>
    <x:row r="20" ht="20" customHeight="1">
      <x:c r="A20" s="15" t="n">
        <x:v>16</x:v>
      </x:c>
      <x:c r="B20" s="11" t="str">
        <x:v>Palmolive Shampoo 180ml</x:v>
      </x:c>
      <x:c r="C20" s="27" t="n">
        <x:v>4800361410904</x:v>
      </x:c>
      <x:c r="D20" s="13" t="n">
        <x:v>95</x:v>
      </x:c>
      <x:c r="E20" s="13" t="n">
        <x:v>110</x:v>
      </x:c>
      <x:c r="F20" s="13" t="n">
        <x:f>E20-D20</x:f>
        <x:v>15</x:v>
      </x:c>
      <x:c r="G20" s="14" t="n">
        <x:f>IF(D20=0,"",F20/D20)</x:f>
        <x:v>0.15789473684210525</x:v>
      </x:c>
    </x:row>
    <x:row r="21" ht="20" customHeight="1">
      <x:c r="A21" s="15" t="n">
        <x:v>17</x:v>
      </x:c>
      <x:c r="B21" s="11" t="str">
        <x:v>Colgate Toothpaste 100ml</x:v>
      </x:c>
      <x:c r="C21" s="27" t="n">
        <x:v>4800361411000</x:v>
      </x:c>
      <x:c r="D21" s="13" t="n">
        <x:v>65</x:v>
      </x:c>
      <x:c r="E21" s="13" t="n">
        <x:v>78</x:v>
      </x:c>
      <x:c r="F21" s="13" t="n">
        <x:f>E21-D21</x:f>
        <x:v>13</x:v>
      </x:c>
      <x:c r="G21" s="14" t="n">
        <x:f>IF(D21=0,"",F21/D21)</x:f>
        <x:v>0.2</x:v>
      </x:c>
    </x:row>
    <x:row r="22" ht="20" customHeight="1">
      <x:c r="A22" s="15" t="n">
        <x:v>18</x:v>
      </x:c>
      <x:c r="B22" s="11" t="str">
        <x:v>Piattos Cheese 85g</x:v>
      </x:c>
      <x:c r="C22" s="27" t="n">
        <x:v>4800361411109</x:v>
      </x:c>
      <x:c r="D22" s="13" t="n">
        <x:v>28</x:v>
      </x:c>
      <x:c r="E22" s="13" t="n">
        <x:v>35</x:v>
      </x:c>
      <x:c r="F22" s="13" t="n">
        <x:f>E22-D22</x:f>
        <x:v>7</x:v>
      </x:c>
      <x:c r="G22" s="14" t="n">
        <x:f>IF(D22=0,"",F22/D22)</x:f>
        <x:v>0.25</x:v>
      </x:c>
    </x:row>
    <x:row r="23" ht="20" customHeight="1">
      <x:c r="A23" s="15" t="n">
        <x:v>19</x:v>
      </x:c>
      <x:c r="B23" s="11" t="str">
        <x:v>Nova Multigrain Snack 78g</x:v>
      </x:c>
      <x:c r="C23" s="27" t="n">
        <x:v>4800361411208</x:v>
      </x:c>
      <x:c r="D23" s="13" t="n">
        <x:v>28</x:v>
      </x:c>
      <x:c r="E23" s="13" t="n">
        <x:v>35</x:v>
      </x:c>
      <x:c r="F23" s="13" t="n">
        <x:f>E23-D23</x:f>
        <x:v>7</x:v>
      </x:c>
      <x:c r="G23" s="14" t="n">
        <x:f>IF(D23=0,"",F23/D23)</x:f>
        <x:v>0.25</x:v>
      </x:c>
    </x:row>
    <x:row r="24" ht="20" customHeight="1">
      <x:c r="A24" s="15" t="n">
        <x:v>20</x:v>
      </x:c>
      <x:c r="B24" s="11" t="str">
        <x:v>Gardenia White Bread 600g</x:v>
      </x:c>
      <x:c r="C24" s="27" t="n">
        <x:v>4800361411307</x:v>
      </x:c>
      <x:c r="D24" s="13" t="n">
        <x:v>70</x:v>
      </x:c>
      <x:c r="E24" s="13" t="n">
        <x:v>85</x:v>
      </x:c>
      <x:c r="F24" s="13" t="n">
        <x:f>E24-D24</x:f>
        <x:v>15</x:v>
      </x:c>
      <x:c r="G24" s="14" t="n">
        <x:f>IF(D24=0,"",F24/D24)</x:f>
        <x:v>0.21428571428571427</x:v>
      </x:c>
    </x:row>
    <x:row r="25" ht="20" customHeight="1">
      <x:c r="A25" s="15" t="n">
        <x:v>21</x:v>
      </x:c>
      <x:c r="B25" s="11" t="str">
        <x:v>Gardenia Wheat Bread 600g</x:v>
      </x:c>
      <x:c r="C25" s="27" t="n">
        <x:v>4800361411406</x:v>
      </x:c>
      <x:c r="D25" s="13" t="n">
        <x:v>75</x:v>
      </x:c>
      <x:c r="E25" s="13" t="n">
        <x:v>90</x:v>
      </x:c>
      <x:c r="F25" s="13" t="n">
        <x:f>E25-D25</x:f>
        <x:v>15</x:v>
      </x:c>
      <x:c r="G25" s="14" t="n">
        <x:f>IF(D25=0,"",F25/D25)</x:f>
        <x:v>0.2</x:v>
      </x:c>
    </x:row>
    <x:row r="26" ht="20" customHeight="1">
      <x:c r="A26" s="15" t="n">
        <x:v>22</x:v>
      </x:c>
      <x:c r="B26" s="11" t="str">
        <x:v>Pandesal Pack 10pcs</x:v>
      </x:c>
      <x:c r="C26" s="27" t="n">
        <x:v>4800361411505</x:v>
      </x:c>
      <x:c r="D26" s="13" t="n">
        <x:v>32</x:v>
      </x:c>
      <x:c r="E26" s="13" t="n">
        <x:v>40</x:v>
      </x:c>
      <x:c r="F26" s="13" t="n">
        <x:f>E26-D26</x:f>
        <x:v>8</x:v>
      </x:c>
      <x:c r="G26" s="14" t="n">
        <x:f>IF(D26=0,"",F26/D26)</x:f>
        <x:v>0.25</x:v>
      </x:c>
    </x:row>
    <x:row r="27" ht="20" customHeight="1">
      <x:c r="A27" s="15" t="n">
        <x:v>23</x:v>
      </x:c>
      <x:c r="B27" s="11" t="str">
        <x:v>SkyFlakes Crackers 25g</x:v>
      </x:c>
      <x:c r="C27" s="27" t="n">
        <x:v>4800361411604</x:v>
      </x:c>
      <x:c r="D27" s="13" t="n">
        <x:v>7</x:v>
      </x:c>
      <x:c r="E27" s="13" t="n">
        <x:v>9</x:v>
      </x:c>
      <x:c r="F27" s="13" t="n">
        <x:f>E27-D27</x:f>
        <x:v>2</x:v>
      </x:c>
      <x:c r="G27" s="14" t="n">
        <x:f>IF(D27=0,"",F27/D27)</x:f>
        <x:v>0.2857142857142857</x:v>
      </x:c>
    </x:row>
    <x:row r="28" ht="20" customHeight="1">
      <x:c r="A28" s="15" t="n">
        <x:v>24</x:v>
      </x:c>
      <x:c r="B28" s="11" t="str">
        <x:v>SkyFlakes Crackers 50g</x:v>
      </x:c>
      <x:c r="C28" s="27" t="n">
        <x:v>4800361411703</x:v>
      </x:c>
      <x:c r="D28" s="13" t="n">
        <x:v>14</x:v>
      </x:c>
      <x:c r="E28" s="13" t="n">
        <x:v>18</x:v>
      </x:c>
      <x:c r="F28" s="13" t="n">
        <x:f>E28-D28</x:f>
        <x:v>4</x:v>
      </x:c>
      <x:c r="G28" s="14" t="n">
        <x:f>IF(D28=0,"",F28/D28)</x:f>
        <x:v>0.2857142857142857</x:v>
      </x:c>
    </x:row>
    <x:row r="29" ht="20" customHeight="1">
      <x:c r="A29" s="15" t="n">
        <x:v>25</x:v>
      </x:c>
      <x:c r="B29" s="11" t="str">
        <x:v>Oreo Vanilla 137g</x:v>
      </x:c>
      <x:c r="C29" s="27" t="n">
        <x:v>4800361411802</x:v>
      </x:c>
      <x:c r="D29" s="13" t="n">
        <x:v>28</x:v>
      </x:c>
      <x:c r="E29" s="13" t="n">
        <x:v>35</x:v>
      </x:c>
      <x:c r="F29" s="13" t="n">
        <x:f>E29-D29</x:f>
        <x:v>7</x:v>
      </x:c>
      <x:c r="G29" s="14" t="n">
        <x:f>IF(D29=0,"",F29/D29)</x:f>
        <x:v>0.25</x:v>
      </x:c>
    </x:row>
    <x:row r="30" ht="20" customHeight="1">
      <x:c r="A30" s="15" t="n">
        <x:v>26</x:v>
      </x:c>
      <x:c r="B30" s="11" t="str">
        <x:v>Fita Crackers 10s</x:v>
      </x:c>
      <x:c r="C30" s="27" t="n">
        <x:v>4800361411901</x:v>
      </x:c>
      <x:c r="D30" s="13" t="n">
        <x:v>24</x:v>
      </x:c>
      <x:c r="E30" s="13" t="n">
        <x:v>30</x:v>
      </x:c>
      <x:c r="F30" s="13" t="n">
        <x:f>E30-D30</x:f>
        <x:v>6</x:v>
      </x:c>
      <x:c r="G30" s="14" t="n">
        <x:f>IF(D30=0,"",F30/D30)</x:f>
        <x:v>0.25</x:v>
      </x:c>
    </x:row>
    <x:row r="31" ht="20" customHeight="1">
      <x:c r="A31" s="15" t="n">
        <x:v>27</x:v>
      </x:c>
      <x:c r="B31" s="11" t="str">
        <x:v>Hansel Mocha 10s</x:v>
      </x:c>
      <x:c r="C31" s="27" t="n">
        <x:v>4800361412007</x:v>
      </x:c>
      <x:c r="D31" s="13" t="n">
        <x:v>24</x:v>
      </x:c>
      <x:c r="E31" s="13" t="n">
        <x:v>30</x:v>
      </x:c>
      <x:c r="F31" s="13" t="n">
        <x:f>E31-D31</x:f>
        <x:v>6</x:v>
      </x:c>
      <x:c r="G31" s="14" t="n">
        <x:f>IF(D31=0,"",F31/D31)</x:f>
        <x:v>0.25</x:v>
      </x:c>
    </x:row>
    <x:row r="32" ht="20" customHeight="1">
      <x:c r="A32" s="15" t="n">
        <x:v>28</x:v>
      </x:c>
      <x:c r="B32" s="11" t="str">
        <x:v>Rebisco Sandwich Strawberry 10s</x:v>
      </x:c>
      <x:c r="C32" s="27" t="n">
        <x:v>4800361412106</x:v>
      </x:c>
      <x:c r="D32" s="13" t="n">
        <x:v>26</x:v>
      </x:c>
      <x:c r="E32" s="13" t="n">
        <x:v>32</x:v>
      </x:c>
      <x:c r="F32" s="13" t="n">
        <x:f>E32-D32</x:f>
        <x:v>6</x:v>
      </x:c>
      <x:c r="G32" s="14" t="n">
        <x:f>IF(D32=0,"",F32/D32)</x:f>
        <x:v>0.23076923076923078</x:v>
      </x:c>
    </x:row>
    <x:row r="33" ht="20" customHeight="1">
      <x:c r="A33" s="15" t="n">
        <x:v>29</x:v>
      </x:c>
      <x:c r="B33" s="11" t="str">
        <x:v>Chippy Barbecue 110g</x:v>
      </x:c>
      <x:c r="C33" s="27" t="n">
        <x:v>4800361412205</x:v>
      </x:c>
      <x:c r="D33" s="13" t="n">
        <x:v>30</x:v>
      </x:c>
      <x:c r="E33" s="13" t="n">
        <x:v>38</x:v>
      </x:c>
      <x:c r="F33" s="13" t="n">
        <x:f>E33-D33</x:f>
        <x:v>8</x:v>
      </x:c>
      <x:c r="G33" s="14" t="n">
        <x:f>IF(D33=0,"",F33/D33)</x:f>
        <x:v>0.26666666666666666</x:v>
      </x:c>
    </x:row>
    <x:row r="34" ht="20" customHeight="1">
      <x:c r="A34" s="15" t="n">
        <x:v>30</x:v>
      </x:c>
      <x:c r="B34" s="11" t="str">
        <x:v>Clover Chips 85g</x:v>
      </x:c>
      <x:c r="C34" s="27" t="n">
        <x:v>4800361412304</x:v>
      </x:c>
      <x:c r="D34" s="13" t="n">
        <x:v>27</x:v>
      </x:c>
      <x:c r="E34" s="13" t="n">
        <x:v>34</x:v>
      </x:c>
      <x:c r="F34" s="13" t="n">
        <x:f>E34-D34</x:f>
        <x:v>7</x:v>
      </x:c>
      <x:c r="G34" s="14" t="n">
        <x:f>IF(D34=0,"",F34/D34)</x:f>
        <x:v>0.25925925925925924</x:v>
      </x:c>
    </x:row>
    <x:row r="35" ht="20" customHeight="1">
      <x:c r="A35" s="15" t="n">
        <x:v>31</x:v>
      </x:c>
      <x:c r="B35" s="11" t="str">
        <x:v>Ding Dong Mixed Nuts 100g</x:v>
      </x:c>
      <x:c r="C35" s="27" t="n">
        <x:v>4800361412403</x:v>
      </x:c>
      <x:c r="D35" s="13" t="n">
        <x:v>32</x:v>
      </x:c>
      <x:c r="E35" s="13" t="n">
        <x:v>40</x:v>
      </x:c>
      <x:c r="F35" s="13" t="n">
        <x:f>E35-D35</x:f>
        <x:v>8</x:v>
      </x:c>
      <x:c r="G35" s="14" t="n">
        <x:f>IF(D35=0,"",F35/D35)</x:f>
        <x:v>0.25</x:v>
      </x:c>
    </x:row>
    <x:row r="36" ht="20" customHeight="1">
      <x:c r="A36" s="15" t="n">
        <x:v>32</x:v>
      </x:c>
      <x:c r="B36" s="11" t="str">
        <x:v>Mega Sardines Tomato Sauce 155g</x:v>
      </x:c>
      <x:c r="C36" s="27" t="n">
        <x:v>4800361412502</x:v>
      </x:c>
      <x:c r="D36" s="13" t="n">
        <x:v>20</x:v>
      </x:c>
      <x:c r="E36" s="13" t="n">
        <x:v>25</x:v>
      </x:c>
      <x:c r="F36" s="13" t="n">
        <x:f>E36-D36</x:f>
        <x:v>5</x:v>
      </x:c>
      <x:c r="G36" s="14" t="n">
        <x:f>IF(D36=0,"",F36/D36)</x:f>
        <x:v>0.25</x:v>
      </x:c>
    </x:row>
    <x:row r="37" ht="20" customHeight="1">
      <x:c r="A37" s="15" t="n">
        <x:v>33</x:v>
      </x:c>
      <x:c r="B37" s="11" t="str">
        <x:v>555 Sardines Tomato Sauce 155g</x:v>
      </x:c>
      <x:c r="C37" s="27" t="n">
        <x:v>4800361412601</x:v>
      </x:c>
      <x:c r="D37" s="13" t="n">
        <x:v>19</x:v>
      </x:c>
      <x:c r="E37" s="13" t="n">
        <x:v>24</x:v>
      </x:c>
      <x:c r="F37" s="13" t="n">
        <x:f>E37-D37</x:f>
        <x:v>5</x:v>
      </x:c>
      <x:c r="G37" s="14" t="n">
        <x:f>IF(D37=0,"",F37/D37)</x:f>
        <x:v>0.2631578947368421</x:v>
      </x:c>
    </x:row>
    <x:row r="38" ht="20" customHeight="1">
      <x:c r="A38" s="15" t="n">
        <x:v>34</x:v>
      </x:c>
      <x:c r="B38" s="11" t="str">
        <x:v>Argentina Corned Beef 150g</x:v>
      </x:c>
      <x:c r="C38" s="27" t="n">
        <x:v>4800361412700</x:v>
      </x:c>
      <x:c r="D38" s="13" t="n">
        <x:v>36</x:v>
      </x:c>
      <x:c r="E38" s="13" t="n">
        <x:v>44</x:v>
      </x:c>
      <x:c r="F38" s="13" t="n">
        <x:f>E38-D38</x:f>
        <x:v>8</x:v>
      </x:c>
      <x:c r="G38" s="14" t="n">
        <x:f>IF(D38=0,"",F38/D38)</x:f>
        <x:v>0.2222222222222222</x:v>
      </x:c>
    </x:row>
    <x:row r="39" ht="20" customHeight="1">
      <x:c r="A39" s="15" t="n">
        <x:v>35</x:v>
      </x:c>
      <x:c r="B39" s="11" t="str">
        <x:v>CDO Corned Beef 150g</x:v>
      </x:c>
      <x:c r="C39" s="27" t="n">
        <x:v>4800361412809</x:v>
      </x:c>
      <x:c r="D39" s="13" t="n">
        <x:v>34</x:v>
      </x:c>
      <x:c r="E39" s="13" t="n">
        <x:v>42</x:v>
      </x:c>
      <x:c r="F39" s="13" t="n">
        <x:f>E39-D39</x:f>
        <x:v>8</x:v>
      </x:c>
      <x:c r="G39" s="14" t="n">
        <x:f>IF(D39=0,"",F39/D39)</x:f>
        <x:v>0.23529411764705882</x:v>
      </x:c>
    </x:row>
    <x:row r="40" ht="20" customHeight="1">
      <x:c r="A40" s="15" t="n">
        <x:v>36</x:v>
      </x:c>
      <x:c r="B40" s="11" t="str">
        <x:v>Purefoods Luncheon Meat 250g</x:v>
      </x:c>
      <x:c r="C40" s="27" t="n">
        <x:v>4800361412908</x:v>
      </x:c>
      <x:c r="D40" s="13" t="n">
        <x:v>88</x:v>
      </x:c>
      <x:c r="E40" s="13" t="n">
        <x:v>102</x:v>
      </x:c>
      <x:c r="F40" s="13" t="n">
        <x:f>E40-D40</x:f>
        <x:v>14</x:v>
      </x:c>
      <x:c r="G40" s="14" t="n">
        <x:f>IF(D40=0,"",F40/D40)</x:f>
        <x:v>0.1590909090909091</x:v>
      </x:c>
    </x:row>
    <x:row r="41" ht="20" customHeight="1">
      <x:c r="A41" s="15" t="n">
        <x:v>37</x:v>
      </x:c>
      <x:c r="B41" s="11" t="str">
        <x:v>Spam Classic 340g</x:v>
      </x:c>
      <x:c r="C41" s="27" t="n">
        <x:v>4800361413004</x:v>
      </x:c>
      <x:c r="D41" s="13" t="n">
        <x:v>165</x:v>
      </x:c>
      <x:c r="E41" s="13" t="n">
        <x:v>185</x:v>
      </x:c>
      <x:c r="F41" s="13" t="n">
        <x:f>E41-D41</x:f>
        <x:v>20</x:v>
      </x:c>
      <x:c r="G41" s="14" t="n">
        <x:f>IF(D41=0,"",F41/D41)</x:f>
        <x:v>0.12121212121212122</x:v>
      </x:c>
    </x:row>
    <x:row r="42" ht="20" customHeight="1">
      <x:c r="A42" s="15" t="n">
        <x:v>38</x:v>
      </x:c>
      <x:c r="B42" s="11" t="str">
        <x:v>Del Monte Tomato Sauce 250g</x:v>
      </x:c>
      <x:c r="C42" s="27" t="n">
        <x:v>4800361413103</x:v>
      </x:c>
      <x:c r="D42" s="13" t="n">
        <x:v>22</x:v>
      </x:c>
      <x:c r="E42" s="13" t="n">
        <x:v>28</x:v>
      </x:c>
      <x:c r="F42" s="13" t="n">
        <x:f>E42-D42</x:f>
        <x:v>6</x:v>
      </x:c>
      <x:c r="G42" s="14" t="n">
        <x:f>IF(D42=0,"",F42/D42)</x:f>
        <x:v>0.2727272727272727</x:v>
      </x:c>
    </x:row>
    <x:row r="43" ht="20" customHeight="1">
      <x:c r="A43" s="15" t="n">
        <x:v>39</x:v>
      </x:c>
      <x:c r="B43" s="11" t="str">
        <x:v>UFC Banana Ketchup 320g</x:v>
      </x:c>
      <x:c r="C43" s="27" t="n">
        <x:v>4800361413202</x:v>
      </x:c>
      <x:c r="D43" s="13" t="n">
        <x:v>28</x:v>
      </x:c>
      <x:c r="E43" s="13" t="n">
        <x:v>35</x:v>
      </x:c>
      <x:c r="F43" s="13" t="n">
        <x:f>E43-D43</x:f>
        <x:v>7</x:v>
      </x:c>
      <x:c r="G43" s="14" t="n">
        <x:f>IF(D43=0,"",F43/D43)</x:f>
        <x:v>0.25</x:v>
      </x:c>
    </x:row>
    <x:row r="44" ht="20" customHeight="1">
      <x:c r="A44" s="15" t="n">
        <x:v>40</x:v>
      </x:c>
      <x:c r="B44" s="11" t="str">
        <x:v>Datu Puti Vinegar 350ml</x:v>
      </x:c>
      <x:c r="C44" s="27" t="n">
        <x:v>4800361413301</x:v>
      </x:c>
      <x:c r="D44" s="13" t="n">
        <x:v>14</x:v>
      </x:c>
      <x:c r="E44" s="13" t="n">
        <x:v>18</x:v>
      </x:c>
      <x:c r="F44" s="13" t="n">
        <x:f>E44-D44</x:f>
        <x:v>4</x:v>
      </x:c>
      <x:c r="G44" s="14" t="n">
        <x:f>IF(D44=0,"",F44/D44)</x:f>
        <x:v>0.2857142857142857</x:v>
      </x:c>
    </x:row>
    <x:row r="45" ht="20" customHeight="1">
      <x:c r="A45" s="15" t="n">
        <x:v>41</x:v>
      </x:c>
      <x:c r="B45" s="11" t="str">
        <x:v>Datu Puti Soy Sauce 350ml</x:v>
      </x:c>
      <x:c r="C45" s="27" t="n">
        <x:v>4800361413400</x:v>
      </x:c>
      <x:c r="D45" s="13" t="n">
        <x:v>16</x:v>
      </x:c>
      <x:c r="E45" s="13" t="n">
        <x:v>20</x:v>
      </x:c>
      <x:c r="F45" s="13" t="n">
        <x:f>E45-D45</x:f>
        <x:v>4</x:v>
      </x:c>
      <x:c r="G45" s="14" t="n">
        <x:f>IF(D45=0,"",F45/D45)</x:f>
        <x:v>0.25</x:v>
      </x:c>
    </x:row>
    <x:row r="46" ht="20" customHeight="1">
      <x:c r="A46" s="15" t="n">
        <x:v>42</x:v>
      </x:c>
      <x:c r="B46" s="11" t="str">
        <x:v>Knorr Liquid Seasoning 130ml</x:v>
      </x:c>
      <x:c r="C46" s="27" t="n">
        <x:v>4800361413509</x:v>
      </x:c>
      <x:c r="D46" s="13" t="n">
        <x:v>21</x:v>
      </x:c>
      <x:c r="E46" s="13" t="n">
        <x:v>27</x:v>
      </x:c>
      <x:c r="F46" s="13" t="n">
        <x:f>E46-D46</x:f>
        <x:v>6</x:v>
      </x:c>
      <x:c r="G46" s="14" t="n">
        <x:f>IF(D46=0,"",F46/D46)</x:f>
        <x:v>0.2857142857142857</x:v>
      </x:c>
    </x:row>
    <x:row r="47" ht="20" customHeight="1">
      <x:c r="A47" s="15" t="n">
        <x:v>43</x:v>
      </x:c>
      <x:c r="B47" s="11" t="str">
        <x:v>Maggi Magic Sarap 8g 12s</x:v>
      </x:c>
      <x:c r="C47" s="27" t="n">
        <x:v>4800361413608</x:v>
      </x:c>
      <x:c r="D47" s="13" t="n">
        <x:v>36</x:v>
      </x:c>
      <x:c r="E47" s="13" t="n">
        <x:v>45</x:v>
      </x:c>
      <x:c r="F47" s="13" t="n">
        <x:f>E47-D47</x:f>
        <x:v>9</x:v>
      </x:c>
      <x:c r="G47" s="14" t="n">
        <x:f>IF(D47=0,"",F47/D47)</x:f>
        <x:v>0.25</x:v>
      </x:c>
    </x:row>
    <x:row r="48" ht="20" customHeight="1">
      <x:c r="A48" s="15" t="n">
        <x:v>44</x:v>
      </x:c>
      <x:c r="B48" s="11" t="str">
        <x:v>Reno Liver Spread 85g</x:v>
      </x:c>
      <x:c r="C48" s="27" t="n">
        <x:v>4800361413707</x:v>
      </x:c>
      <x:c r="D48" s="13" t="n">
        <x:v>24</x:v>
      </x:c>
      <x:c r="E48" s="13" t="n">
        <x:v>30</x:v>
      </x:c>
      <x:c r="F48" s="13" t="n">
        <x:f>E48-D48</x:f>
        <x:v>6</x:v>
      </x:c>
      <x:c r="G48" s="14" t="n">
        <x:f>IF(D48=0,"",F48/D48)</x:f>
        <x:v>0.25</x:v>
      </x:c>
    </x:row>
    <x:row r="49" ht="20" customHeight="1">
      <x:c r="A49" s="15" t="n">
        <x:v>45</x:v>
      </x:c>
      <x:c r="B49" s="11" t="str">
        <x:v>Eden Cheese 165g</x:v>
      </x:c>
      <x:c r="C49" s="27" t="n">
        <x:v>4800361413806</x:v>
      </x:c>
      <x:c r="D49" s="13" t="n">
        <x:v>68</x:v>
      </x:c>
      <x:c r="E49" s="13" t="n">
        <x:v>80</x:v>
      </x:c>
      <x:c r="F49" s="13" t="n">
        <x:f>E49-D49</x:f>
        <x:v>12</x:v>
      </x:c>
      <x:c r="G49" s="14" t="n">
        <x:f>IF(D49=0,"",F49/D49)</x:f>
        <x:v>0.17647058823529413</x:v>
      </x:c>
    </x:row>
    <x:row r="50" ht="20" customHeight="1">
      <x:c r="A50" s="15" t="n">
        <x:v>46</x:v>
      </x:c>
      <x:c r="B50" s="11" t="str">
        <x:v>Cheez Whiz Original 210g</x:v>
      </x:c>
      <x:c r="C50" s="27" t="n">
        <x:v>4800361413905</x:v>
      </x:c>
      <x:c r="D50" s="13" t="n">
        <x:v>72</x:v>
      </x:c>
      <x:c r="E50" s="13" t="n">
        <x:v>85</x:v>
      </x:c>
      <x:c r="F50" s="13" t="n">
        <x:f>E50-D50</x:f>
        <x:v>13</x:v>
      </x:c>
      <x:c r="G50" s="14" t="n">
        <x:f>IF(D50=0,"",F50/D50)</x:f>
        <x:v>0.18055555555555555</x:v>
      </x:c>
    </x:row>
    <x:row r="51" ht="20" customHeight="1">
      <x:c r="A51" s="15" t="n">
        <x:v>47</x:v>
      </x:c>
      <x:c r="B51" s="11" t="str">
        <x:v>Lady's Choice Mayonnaise 220ml</x:v>
      </x:c>
      <x:c r="C51" s="27" t="n">
        <x:v>4800361414001</x:v>
      </x:c>
      <x:c r="D51" s="13" t="n">
        <x:v>58</x:v>
      </x:c>
      <x:c r="E51" s="13" t="n">
        <x:v>70</x:v>
      </x:c>
      <x:c r="F51" s="13" t="n">
        <x:f>E51-D51</x:f>
        <x:v>12</x:v>
      </x:c>
      <x:c r="G51" s="14" t="n">
        <x:f>IF(D51=0,"",F51/D51)</x:f>
        <x:v>0.20689655172413793</x:v>
      </x:c>
    </x:row>
    <x:row r="52" ht="20" customHeight="1">
      <x:c r="A52" s="15" t="n">
        <x:v>48</x:v>
      </x:c>
      <x:c r="B52" s="11" t="str">
        <x:v>Nestle All Purpose Cream 250ml</x:v>
      </x:c>
      <x:c r="C52" s="27" t="n">
        <x:v>4800361414100</x:v>
      </x:c>
      <x:c r="D52" s="13" t="n">
        <x:v>38</x:v>
      </x:c>
      <x:c r="E52" s="13" t="n">
        <x:v>46</x:v>
      </x:c>
      <x:c r="F52" s="13" t="n">
        <x:f>E52-D52</x:f>
        <x:v>8</x:v>
      </x:c>
      <x:c r="G52" s="14" t="n">
        <x:f>IF(D52=0,"",F52/D52)</x:f>
        <x:v>0.21052631578947367</x:v>
      </x:c>
    </x:row>
    <x:row r="53" ht="20" customHeight="1">
      <x:c r="A53" s="15" t="n">
        <x:v>49</x:v>
      </x:c>
      <x:c r="B53" s="11" t="str">
        <x:v>Milo 3-in-1 10s</x:v>
      </x:c>
      <x:c r="C53" s="27" t="n">
        <x:v>4800361414209</x:v>
      </x:c>
      <x:c r="D53" s="13" t="n">
        <x:v>68</x:v>
      </x:c>
      <x:c r="E53" s="13" t="n">
        <x:v>82</x:v>
      </x:c>
      <x:c r="F53" s="13" t="n">
        <x:f>E53-D53</x:f>
        <x:v>14</x:v>
      </x:c>
      <x:c r="G53" s="14" t="n">
        <x:f>IF(D53=0,"",F53/D53)</x:f>
        <x:v>0.20588235294117646</x:v>
      </x:c>
    </x:row>
    <x:row r="54" ht="20" customHeight="1">
      <x:c r="A54" s="15" t="n">
        <x:v>50</x:v>
      </x:c>
      <x:c r="B54" s="11" t="str">
        <x:v>Kopiko Brown 10s</x:v>
      </x:c>
      <x:c r="C54" s="27" t="n">
        <x:v>4800361414308</x:v>
      </x:c>
      <x:c r="D54" s="13" t="n">
        <x:v>62</x:v>
      </x:c>
      <x:c r="E54" s="13" t="n">
        <x:v>75</x:v>
      </x:c>
      <x:c r="F54" s="13" t="n">
        <x:f>E54-D54</x:f>
        <x:v>13</x:v>
      </x:c>
      <x:c r="G54" s="14" t="n">
        <x:f>IF(D54=0,"",F54/D54)</x:f>
        <x:v>0.20967741935483872</x:v>
      </x:c>
    </x:row>
    <x:row r="55" ht="20" customHeight="1">
      <x:c r="A55" s="15" t="n">
        <x:v>51</x:v>
      </x:c>
      <x:c r="B55" s="11" t="str">
        <x:v>San Mig Coffee Original 10s</x:v>
      </x:c>
      <x:c r="C55" s="27" t="n">
        <x:v>4800361414407</x:v>
      </x:c>
      <x:c r="D55" s="13" t="n">
        <x:v>58</x:v>
      </x:c>
      <x:c r="E55" s="13" t="n">
        <x:v>70</x:v>
      </x:c>
      <x:c r="F55" s="13" t="n">
        <x:f>E55-D55</x:f>
        <x:v>12</x:v>
      </x:c>
      <x:c r="G55" s="14" t="n">
        <x:f>IF(D55=0,"",F55/D55)</x:f>
        <x:v>0.20689655172413793</x:v>
      </x:c>
    </x:row>
    <x:row r="56" ht="20" customHeight="1">
      <x:c r="A56" s="15" t="n">
        <x:v>52</x:v>
      </x:c>
      <x:c r="B56" s="11" t="str">
        <x:v>Swiss Miss Chocolate 8s</x:v>
      </x:c>
      <x:c r="C56" s="27" t="n">
        <x:v>4800361414506</x:v>
      </x:c>
      <x:c r="D56" s="13" t="n">
        <x:v>82</x:v>
      </x:c>
      <x:c r="E56" s="13" t="n">
        <x:v>95</x:v>
      </x:c>
      <x:c r="F56" s="13" t="n">
        <x:f>E56-D56</x:f>
        <x:v>13</x:v>
      </x:c>
      <x:c r="G56" s="14" t="n">
        <x:f>IF(D56=0,"",F56/D56)</x:f>
        <x:v>0.15853658536585366</x:v>
      </x:c>
    </x:row>
    <x:row r="57" ht="20" customHeight="1">
      <x:c r="A57" s="15" t="n">
        <x:v>53</x:v>
      </x:c>
      <x:c r="B57" s="11" t="str">
        <x:v>Coca-Cola Mismo 295ml</x:v>
      </x:c>
      <x:c r="C57" s="27" t="n">
        <x:v>4800361414605</x:v>
      </x:c>
      <x:c r="D57" s="13" t="n">
        <x:v>15</x:v>
      </x:c>
      <x:c r="E57" s="13" t="n">
        <x:v>20</x:v>
      </x:c>
      <x:c r="F57" s="13" t="n">
        <x:f>E57-D57</x:f>
        <x:v>5</x:v>
      </x:c>
      <x:c r="G57" s="14" t="n">
        <x:f>IF(D57=0,"",F57/D57)</x:f>
        <x:v>0.3333333333333333</x:v>
      </x:c>
    </x:row>
    <x:row r="58" ht="20" customHeight="1">
      <x:c r="A58" s="15" t="n">
        <x:v>54</x:v>
      </x:c>
      <x:c r="B58" s="11" t="str">
        <x:v>Pepsi 1.5L</x:v>
      </x:c>
      <x:c r="C58" s="27" t="n">
        <x:v>4800361414704</x:v>
      </x:c>
      <x:c r="D58" s="13" t="n">
        <x:v>58</x:v>
      </x:c>
      <x:c r="E58" s="13" t="n">
        <x:v>70</x:v>
      </x:c>
      <x:c r="F58" s="13" t="n">
        <x:f>E58-D58</x:f>
        <x:v>12</x:v>
      </x:c>
      <x:c r="G58" s="14" t="n">
        <x:f>IF(D58=0,"",F58/D58)</x:f>
        <x:v>0.20689655172413793</x:v>
      </x:c>
    </x:row>
    <x:row r="59" ht="20" customHeight="1">
      <x:c r="A59" s="15" t="n">
        <x:v>55</x:v>
      </x:c>
      <x:c r="B59" s="11" t="str">
        <x:v>Royal Tru Orange Can 320ml</x:v>
      </x:c>
      <x:c r="C59" s="27" t="n">
        <x:v>4800361414803</x:v>
      </x:c>
      <x:c r="D59" s="13" t="n">
        <x:v>18</x:v>
      </x:c>
      <x:c r="E59" s="13" t="n">
        <x:v>22</x:v>
      </x:c>
      <x:c r="F59" s="13" t="n">
        <x:f>E59-D59</x:f>
        <x:v>4</x:v>
      </x:c>
      <x:c r="G59" s="14" t="n">
        <x:f>IF(D59=0,"",F59/D59)</x:f>
        <x:v>0.2222222222222222</x:v>
      </x:c>
    </x:row>
    <x:row r="60" ht="20" customHeight="1">
      <x:c r="A60" s="15" t="n">
        <x:v>56</x:v>
      </x:c>
      <x:c r="B60" s="11" t="str">
        <x:v>Zesto Orange Juice 250ml</x:v>
      </x:c>
      <x:c r="C60" s="27" t="n">
        <x:v>4800361414902</x:v>
      </x:c>
      <x:c r="D60" s="13" t="n">
        <x:v>10</x:v>
      </x:c>
      <x:c r="E60" s="13" t="n">
        <x:v>14</x:v>
      </x:c>
      <x:c r="F60" s="13" t="n">
        <x:f>E60-D60</x:f>
        <x:v>4</x:v>
      </x:c>
      <x:c r="G60" s="14" t="n">
        <x:f>IF(D60=0,"",F60/D60)</x:f>
        <x:v>0.4</x:v>
      </x:c>
    </x:row>
    <x:row r="61" ht="20" customHeight="1">
      <x:c r="A61" s="15" t="n">
        <x:v>57</x:v>
      </x:c>
      <x:c r="B61" s="11" t="str">
        <x:v>C2 Green Tea Apple 500ml</x:v>
      </x:c>
      <x:c r="C61" s="27" t="n">
        <x:v>4800361415008</x:v>
      </x:c>
      <x:c r="D61" s="13" t="n">
        <x:v>18</x:v>
      </x:c>
      <x:c r="E61" s="13" t="n">
        <x:v>23</x:v>
      </x:c>
      <x:c r="F61" s="13" t="n">
        <x:f>E61-D61</x:f>
        <x:v>5</x:v>
      </x:c>
      <x:c r="G61" s="14" t="n">
        <x:f>IF(D61=0,"",F61/D61)</x:f>
        <x:v>0.2777777777777778</x:v>
      </x:c>
    </x:row>
    <x:row r="62" ht="20" customHeight="1">
      <x:c r="A62" s="15" t="n">
        <x:v>58</x:v>
      </x:c>
      <x:c r="B62" s="11" t="str">
        <x:v>Pocari Sweat 500ml</x:v>
      </x:c>
      <x:c r="C62" s="27" t="n">
        <x:v>4800361415107</x:v>
      </x:c>
      <x:c r="D62" s="13" t="n">
        <x:v>32</x:v>
      </x:c>
      <x:c r="E62" s="13" t="n">
        <x:v>40</x:v>
      </x:c>
      <x:c r="F62" s="13" t="n">
        <x:f>E62-D62</x:f>
        <x:v>8</x:v>
      </x:c>
      <x:c r="G62" s="14" t="n">
        <x:f>IF(D62=0,"",F62/D62)</x:f>
        <x:v>0.25</x:v>
      </x:c>
    </x:row>
    <x:row r="63" ht="20" customHeight="1">
      <x:c r="A63" s="15" t="n">
        <x:v>59</x:v>
      </x:c>
      <x:c r="B63" s="11" t="str">
        <x:v>Champion Detergent Powder 80g</x:v>
      </x:c>
      <x:c r="C63" s="27" t="n">
        <x:v>4800361415206</x:v>
      </x:c>
      <x:c r="D63" s="13" t="n">
        <x:v>7.5</x:v>
      </x:c>
      <x:c r="E63" s="13" t="n">
        <x:v>10</x:v>
      </x:c>
      <x:c r="F63" s="13" t="n">
        <x:f>E63-D63</x:f>
        <x:v>2.5</x:v>
      </x:c>
      <x:c r="G63" s="14" t="n">
        <x:f>IF(D63=0,"",F63/D63)</x:f>
        <x:v>0.3333333333333333</x:v>
      </x:c>
    </x:row>
    <x:row r="64" ht="20" customHeight="1">
      <x:c r="A64" s="15" t="n">
        <x:v>60</x:v>
      </x:c>
      <x:c r="B64" s="11" t="str">
        <x:v>Tide Detergent Powder 66g</x:v>
      </x:c>
      <x:c r="C64" s="27" t="n">
        <x:v>4800361415305</x:v>
      </x:c>
      <x:c r="D64" s="13" t="n">
        <x:v>8.5</x:v>
      </x:c>
      <x:c r="E64" s="13" t="n">
        <x:v>11</x:v>
      </x:c>
      <x:c r="F64" s="13" t="n">
        <x:f>E64-D64</x:f>
        <x:v>2.5</x:v>
      </x:c>
      <x:c r="G64" s="14" t="n">
        <x:f>IF(D64=0,"",F64/D64)</x:f>
        <x:v>0.29411764705882354</x:v>
      </x:c>
    </x:row>
    <x:row r="65" ht="20" customHeight="1">
      <x:c r="A65" s="15" t="n">
        <x:v>61</x:v>
      </x:c>
      <x:c r="B65" s="11" t="str">
        <x:v>Surf Powder Lemon 80g</x:v>
      </x:c>
      <x:c r="C65" s="27" t="n">
        <x:v>4800361415404</x:v>
      </x:c>
      <x:c r="D65" s="13" t="n">
        <x:v>7.5</x:v>
      </x:c>
      <x:c r="E65" s="13" t="n">
        <x:v>10</x:v>
      </x:c>
      <x:c r="F65" s="13" t="n">
        <x:f>E65-D65</x:f>
        <x:v>2.5</x:v>
      </x:c>
      <x:c r="G65" s="14" t="n">
        <x:f>IF(D65=0,"",F65/D65)</x:f>
        <x:v>0.3333333333333333</x:v>
      </x:c>
    </x:row>
    <x:row r="66" ht="20" customHeight="1">
      <x:c r="A66" s="15" t="n">
        <x:v>62</x:v>
      </x:c>
      <x:c r="B66" s="11" t="str">
        <x:v>Downy Fabric Conditioner 36ml</x:v>
      </x:c>
      <x:c r="C66" s="27" t="n">
        <x:v>4800361415503</x:v>
      </x:c>
      <x:c r="D66" s="13" t="n">
        <x:v>6</x:v>
      </x:c>
      <x:c r="E66" s="13" t="n">
        <x:v>8</x:v>
      </x:c>
      <x:c r="F66" s="13" t="n">
        <x:f>E66-D66</x:f>
        <x:v>2</x:v>
      </x:c>
      <x:c r="G66" s="14" t="n">
        <x:f>IF(D66=0,"",F66/D66)</x:f>
        <x:v>0.3333333333333333</x:v>
      </x:c>
    </x:row>
    <x:row r="67" ht="20" customHeight="1">
      <x:c r="A67" s="15" t="n">
        <x:v>63</x:v>
      </x:c>
      <x:c r="B67" s="11" t="str">
        <x:v>Joy Dishwashing Liquid 145ml</x:v>
      </x:c>
      <x:c r="C67" s="27" t="n">
        <x:v>4800361415602</x:v>
      </x:c>
      <x:c r="D67" s="13" t="n">
        <x:v>22</x:v>
      </x:c>
      <x:c r="E67" s="13" t="n">
        <x:v>28</x:v>
      </x:c>
      <x:c r="F67" s="13" t="n">
        <x:f>E67-D67</x:f>
        <x:v>6</x:v>
      </x:c>
      <x:c r="G67" s="14" t="n">
        <x:f>IF(D67=0,"",F67/D67)</x:f>
        <x:v>0.2727272727272727</x:v>
      </x:c>
    </x:row>
    <x:row r="68" ht="20" customHeight="1">
      <x:c r="A68" s="15" t="n">
        <x:v>64</x:v>
      </x:c>
      <x:c r="B68" s="11" t="str">
        <x:v>Zonrox Bleach 250ml</x:v>
      </x:c>
      <x:c r="C68" s="27" t="n">
        <x:v>4800361415701</x:v>
      </x:c>
      <x:c r="D68" s="13" t="n">
        <x:v>18</x:v>
      </x:c>
      <x:c r="E68" s="13" t="n">
        <x:v>23</x:v>
      </x:c>
      <x:c r="F68" s="13" t="n">
        <x:f>E68-D68</x:f>
        <x:v>5</x:v>
      </x:c>
      <x:c r="G68" s="14" t="n">
        <x:f>IF(D68=0,"",F68/D68)</x:f>
        <x:v>0.2777777777777778</x:v>
      </x:c>
    </x:row>
    <x:row r="69" ht="20" customHeight="1">
      <x:c r="A69" s="15" t="n">
        <x:v>65</x:v>
      </x:c>
      <x:c r="B69" s="11" t="str">
        <x:v>Head &amp; Shoulders Shampoo Sachet 12ml</x:v>
      </x:c>
      <x:c r="C69" s="27" t="n">
        <x:v>4800361415800</x:v>
      </x:c>
      <x:c r="D69" s="13" t="n">
        <x:v>5.5</x:v>
      </x:c>
      <x:c r="E69" s="13" t="n">
        <x:v>7.5</x:v>
      </x:c>
      <x:c r="F69" s="13" t="n">
        <x:f>E69-D69</x:f>
        <x:v>2</x:v>
      </x:c>
      <x:c r="G69" s="14" t="n">
        <x:f>IF(D69=0,"",F69/D69)</x:f>
        <x:v>0.36363636363636365</x:v>
      </x:c>
    </x:row>
    <x:row r="70" ht="20" customHeight="1">
      <x:c r="A70" s="15" t="n">
        <x:v>66</x:v>
      </x:c>
      <x:c r="B70" s="11" t="str">
        <x:v>Palmolive Conditioner Sachet 12ml</x:v>
      </x:c>
      <x:c r="C70" s="27" t="n">
        <x:v>4800361415909</x:v>
      </x:c>
      <x:c r="D70" s="13" t="n">
        <x:v>5.5</x:v>
      </x:c>
      <x:c r="E70" s="13" t="n">
        <x:v>7.5</x:v>
      </x:c>
      <x:c r="F70" s="13" t="n">
        <x:f>E70-D70</x:f>
        <x:v>2</x:v>
      </x:c>
      <x:c r="G70" s="14" t="n">
        <x:f>IF(D70=0,"",F70/D70)</x:f>
        <x:v>0.36363636363636365</x:v>
      </x:c>
    </x:row>
    <x:row r="71" ht="20" customHeight="1">
      <x:c r="A71" s="15" t="n">
        <x:v>67</x:v>
      </x:c>
      <x:c r="B71" s="11" t="str">
        <x:v>Closeup Toothpaste 100ml</x:v>
      </x:c>
      <x:c r="C71" s="27" t="n">
        <x:v>4800361416005</x:v>
      </x:c>
      <x:c r="D71" s="13" t="n">
        <x:v>63</x:v>
      </x:c>
      <x:c r="E71" s="13" t="n">
        <x:v>76</x:v>
      </x:c>
      <x:c r="F71" s="13" t="n">
        <x:f>E71-D71</x:f>
        <x:v>13</x:v>
      </x:c>
      <x:c r="G71" s="14" t="n">
        <x:f>IF(D71=0,"",F71/D71)</x:f>
        <x:v>0.20634920634920634</x:v>
      </x:c>
    </x:row>
    <x:row r="72" ht="20" customHeight="1">
      <x:c r="A72" s="15" t="n">
        <x:v>68</x:v>
      </x:c>
      <x:c r="B72" s="11" t="str">
        <x:v>Master Soap Blue 125g</x:v>
      </x:c>
      <x:c r="C72" s="27" t="n">
        <x:v>4800361416104</x:v>
      </x:c>
      <x:c r="D72" s="13" t="n">
        <x:v>18</x:v>
      </x:c>
      <x:c r="E72" s="13" t="n">
        <x:v>24</x:v>
      </x:c>
      <x:c r="F72" s="13" t="n">
        <x:f>E72-D72</x:f>
        <x:v>6</x:v>
      </x:c>
      <x:c r="G72" s="14" t="n">
        <x:f>IF(D72=0,"",F72/D72)</x:f>
        <x:v>0.3333333333333333</x:v>
      </x:c>
    </x:row>
    <x:row r="73" ht="20" customHeight="1">
      <x:c r="A73" s="15" t="n">
        <x:v>69</x:v>
      </x:c>
      <x:c r="B73" s="11" t="str">
        <x:v>Tissue Roll 2-ply 1pc</x:v>
      </x:c>
      <x:c r="C73" s="27" t="n">
        <x:v>4800361416203</x:v>
      </x:c>
      <x:c r="D73" s="13" t="n">
        <x:v>14</x:v>
      </x:c>
      <x:c r="E73" s="13" t="n">
        <x:v>18</x:v>
      </x:c>
      <x:c r="F73" s="13" t="n">
        <x:f>E73-D73</x:f>
        <x:v>4</x:v>
      </x:c>
      <x:c r="G73" s="14" t="n">
        <x:f>IF(D73=0,"",F73/D73)</x:f>
        <x:v>0.2857142857142857</x:v>
      </x:c>
    </x:row>
    <x:row r="74" ht="20" customHeight="1">
      <x:c r="A74" s="15" t="n">
        <x:v>70</x:v>
      </x:c>
      <x:c r="B74" s="11" t="str">
        <x:v>Alcohol 70% 250ml</x:v>
      </x:c>
      <x:c r="C74" s="27" t="n">
        <x:v>4800361416302</x:v>
      </x:c>
      <x:c r="D74" s="13" t="n">
        <x:v>38</x:v>
      </x:c>
      <x:c r="E74" s="13" t="n">
        <x:v>48</x:v>
      </x:c>
      <x:c r="F74" s="13" t="n">
        <x:f>E74-D74</x:f>
        <x:v>10</x:v>
      </x:c>
      <x:c r="G74" s="14" t="n">
        <x:f>IF(D74=0,"",F74/D74)</x:f>
        <x:v>0.2631578947368421</x:v>
      </x:c>
    </x:row>
    <x:row r="75" ht="20" customHeight="1">
      <x:c r="A75" s="15" t="n">
        <x:v>71</x:v>
      </x:c>
      <x:c r="B75" s="11" t="str">
        <x:v>Ligo Sardines Tomato Sauce 155g</x:v>
      </x:c>
      <x:c r="C75" s="27" t="n">
        <x:v>4800361416401</x:v>
      </x:c>
      <x:c r="D75" s="13" t="n">
        <x:v>20</x:v>
      </x:c>
      <x:c r="E75" s="13" t="n">
        <x:v>25</x:v>
      </x:c>
      <x:c r="F75" s="13" t="n">
        <x:f>E75-D75</x:f>
        <x:v>5</x:v>
      </x:c>
      <x:c r="G75" s="14" t="n">
        <x:f>IF(D75=0,"",F75/D75)</x:f>
        <x:v>0.25</x:v>
      </x:c>
    </x:row>
    <x:row r="76" ht="20" customHeight="1">
      <x:c r="A76" s="15" t="n">
        <x:v>72</x:v>
      </x:c>
      <x:c r="B76" s="11" t="str">
        <x:v>Young's Town Sardines 155g</x:v>
      </x:c>
      <x:c r="C76" s="27" t="n">
        <x:v>4800361416500</x:v>
      </x:c>
      <x:c r="D76" s="13" t="n">
        <x:v>19</x:v>
      </x:c>
      <x:c r="E76" s="13" t="n">
        <x:v>24</x:v>
      </x:c>
      <x:c r="F76" s="13" t="n">
        <x:f>E76-D76</x:f>
        <x:v>5</x:v>
      </x:c>
      <x:c r="G76" s="14" t="n">
        <x:f>IF(D76=0,"",F76/D76)</x:f>
        <x:v>0.2631578947368421</x:v>
      </x:c>
    </x:row>
    <x:row r="77" ht="20" customHeight="1">
      <x:c r="A77" s="15" t="n">
        <x:v>73</x:v>
      </x:c>
      <x:c r="B77" s="11" t="str">
        <x:v>Century Tuna Flakes in Oil 180g</x:v>
      </x:c>
      <x:c r="C77" s="27" t="n">
        <x:v>4800361416609</x:v>
      </x:c>
      <x:c r="D77" s="13" t="n">
        <x:v>42</x:v>
      </x:c>
      <x:c r="E77" s="13" t="n">
        <x:v>50</x:v>
      </x:c>
      <x:c r="F77" s="13" t="n">
        <x:f>E77-D77</x:f>
        <x:v>8</x:v>
      </x:c>
      <x:c r="G77" s="14" t="n">
        <x:f>IF(D77=0,"",F77/D77)</x:f>
        <x:v>0.19047619047619047</x:v>
      </x:c>
    </x:row>
    <x:row r="78" ht="20" customHeight="1">
      <x:c r="A78" s="15" t="n">
        <x:v>74</x:v>
      </x:c>
      <x:c r="B78" s="11" t="str">
        <x:v>555 Tuna Afritada 155g</x:v>
      </x:c>
      <x:c r="C78" s="27" t="n">
        <x:v>4800361416708</x:v>
      </x:c>
      <x:c r="D78" s="13" t="n">
        <x:v>38</x:v>
      </x:c>
      <x:c r="E78" s="13" t="n">
        <x:v>46</x:v>
      </x:c>
      <x:c r="F78" s="13" t="n">
        <x:f>E78-D78</x:f>
        <x:v>8</x:v>
      </x:c>
      <x:c r="G78" s="14" t="n">
        <x:f>IF(D78=0,"",F78/D78)</x:f>
        <x:v>0.21052631578947367</x:v>
      </x:c>
    </x:row>
    <x:row r="79" ht="20" customHeight="1">
      <x:c r="A79" s="15" t="n">
        <x:v>75</x:v>
      </x:c>
      <x:c r="B79" s="11" t="str">
        <x:v>UFC Spaghetti Sauce Sweet Style 500g</x:v>
      </x:c>
      <x:c r="C79" s="27" t="n">
        <x:v>4800361416807</x:v>
      </x:c>
      <x:c r="D79" s="13" t="n">
        <x:v>42</x:v>
      </x:c>
      <x:c r="E79" s="13" t="n">
        <x:v>52</x:v>
      </x:c>
      <x:c r="F79" s="13" t="n">
        <x:f>E79-D79</x:f>
        <x:v>10</x:v>
      </x:c>
      <x:c r="G79" s="14" t="n">
        <x:f>IF(D79=0,"",F79/D79)</x:f>
        <x:v>0.23809523809523808</x:v>
      </x:c>
    </x:row>
    <x:row r="80" ht="20" customHeight="1">
      <x:c r="A80" s="15" t="n">
        <x:v>76</x:v>
      </x:c>
      <x:c r="B80" s="11" t="str">
        <x:v>Del Monte Spaghetti Sauce Filipino Style 500g</x:v>
      </x:c>
      <x:c r="C80" s="27" t="n">
        <x:v>4800361416906</x:v>
      </x:c>
      <x:c r="D80" s="13" t="n">
        <x:v>44</x:v>
      </x:c>
      <x:c r="E80" s="13" t="n">
        <x:v>54</x:v>
      </x:c>
      <x:c r="F80" s="13" t="n">
        <x:f>E80-D80</x:f>
        <x:v>10</x:v>
      </x:c>
      <x:c r="G80" s="14" t="n">
        <x:f>IF(D80=0,"",F80/D80)</x:f>
        <x:v>0.22727272727272727</x:v>
      </x:c>
    </x:row>
    <x:row r="81" ht="20" customHeight="1">
      <x:c r="A81" s="15" t="n">
        <x:v>77</x:v>
      </x:c>
      <x:c r="B81" s="11" t="str">
        <x:v>Fiesta Spaghetti 450g</x:v>
      </x:c>
      <x:c r="C81" s="27" t="n">
        <x:v>4800361417002</x:v>
      </x:c>
      <x:c r="D81" s="13" t="n">
        <x:v>34</x:v>
      </x:c>
      <x:c r="E81" s="13" t="n">
        <x:v>42</x:v>
      </x:c>
      <x:c r="F81" s="13" t="n">
        <x:f>E81-D81</x:f>
        <x:v>8</x:v>
      </x:c>
      <x:c r="G81" s="14" t="n">
        <x:f>IF(D81=0,"",F81/D81)</x:f>
        <x:v>0.23529411764705882</x:v>
      </x:c>
    </x:row>
    <x:row r="82" ht="20" customHeight="1">
      <x:c r="A82" s="15" t="n">
        <x:v>78</x:v>
      </x:c>
      <x:c r="B82" s="11" t="str">
        <x:v>Elbow Macaroni 400g</x:v>
      </x:c>
      <x:c r="C82" s="27" t="n">
        <x:v>4800361417101</x:v>
      </x:c>
      <x:c r="D82" s="13" t="n">
        <x:v>32</x:v>
      </x:c>
      <x:c r="E82" s="13" t="n">
        <x:v>40</x:v>
      </x:c>
      <x:c r="F82" s="13" t="n">
        <x:f>E82-D82</x:f>
        <x:v>8</x:v>
      </x:c>
      <x:c r="G82" s="14" t="n">
        <x:f>IF(D82=0,"",F82/D82)</x:f>
        <x:v>0.25</x:v>
      </x:c>
    </x:row>
    <x:row r="83" ht="20" customHeight="1">
      <x:c r="A83" s="15" t="n">
        <x:v>79</x:v>
      </x:c>
      <x:c r="B83" s="11" t="str">
        <x:v>Nissin Ramen Beef 55g</x:v>
      </x:c>
      <x:c r="C83" s="27" t="n">
        <x:v>4800361417200</x:v>
      </x:c>
      <x:c r="D83" s="13" t="n">
        <x:v>10</x:v>
      </x:c>
      <x:c r="E83" s="13" t="n">
        <x:v>13</x:v>
      </x:c>
      <x:c r="F83" s="13" t="n">
        <x:f>E83-D83</x:f>
        <x:v>3</x:v>
      </x:c>
      <x:c r="G83" s="14" t="n">
        <x:f>IF(D83=0,"",F83/D83)</x:f>
        <x:v>0.3</x:v>
      </x:c>
    </x:row>
    <x:row r="84" ht="20" customHeight="1">
      <x:c r="A84" s="15" t="n">
        <x:v>80</x:v>
      </x:c>
      <x:c r="B84" s="11" t="str">
        <x:v>Payless Instant Mami Chicken 55g</x:v>
      </x:c>
      <x:c r="C84" s="27" t="n">
        <x:v>4800361417309</x:v>
      </x:c>
      <x:c r="D84" s="13" t="n">
        <x:v>9</x:v>
      </x:c>
      <x:c r="E84" s="13" t="n">
        <x:v>12</x:v>
      </x:c>
      <x:c r="F84" s="13" t="n">
        <x:f>E84-D84</x:f>
        <x:v>3</x:v>
      </x:c>
      <x:c r="G84" s="14" t="n">
        <x:f>IF(D84=0,"",F84/D84)</x:f>
        <x:v>0.3333333333333333</x:v>
      </x:c>
    </x:row>
    <x:row r="85" ht="20" customHeight="1">
      <x:c r="A85" s="15" t="n">
        <x:v>81</x:v>
      </x:c>
      <x:c r="B85" s="11" t="str">
        <x:v>Bingo Double Choco 110g</x:v>
      </x:c>
      <x:c r="C85" s="27" t="n">
        <x:v>4800361417408</x:v>
      </x:c>
      <x:c r="D85" s="13" t="n">
        <x:v>26</x:v>
      </x:c>
      <x:c r="E85" s="13" t="n">
        <x:v>32</x:v>
      </x:c>
      <x:c r="F85" s="13" t="n">
        <x:f>E85-D85</x:f>
        <x:v>6</x:v>
      </x:c>
      <x:c r="G85" s="14" t="n">
        <x:f>IF(D85=0,"",F85/D85)</x:f>
        <x:v>0.23076923076923078</x:v>
      </x:c>
    </x:row>
    <x:row r="86" ht="20" customHeight="1">
      <x:c r="A86" s="15" t="n">
        <x:v>82</x:v>
      </x:c>
      <x:c r="B86" s="11" t="str">
        <x:v>Presto Peanut Butter Sandwich 85g</x:v>
      </x:c>
      <x:c r="C86" s="27" t="n">
        <x:v>4800361417507</x:v>
      </x:c>
      <x:c r="D86" s="13" t="n">
        <x:v>24</x:v>
      </x:c>
      <x:c r="E86" s="13" t="n">
        <x:v>30</x:v>
      </x:c>
      <x:c r="F86" s="13" t="n">
        <x:f>E86-D86</x:f>
        <x:v>6</x:v>
      </x:c>
      <x:c r="G86" s="14" t="n">
        <x:f>IF(D86=0,"",F86/D86)</x:f>
        <x:v>0.25</x:v>
      </x:c>
    </x:row>
    <x:row r="87" ht="20" customHeight="1">
      <x:c r="A87" s="15" t="n">
        <x:v>83</x:v>
      </x:c>
      <x:c r="B87" s="11" t="str">
        <x:v>Hi-Ro Chocolate Sandwich Cookies 100g</x:v>
      </x:c>
      <x:c r="C87" s="27" t="n">
        <x:v>4800361417606</x:v>
      </x:c>
      <x:c r="D87" s="13" t="n">
        <x:v>24</x:v>
      </x:c>
      <x:c r="E87" s="13" t="n">
        <x:v>30</x:v>
      </x:c>
      <x:c r="F87" s="13" t="n">
        <x:f>E87-D87</x:f>
        <x:v>6</x:v>
      </x:c>
      <x:c r="G87" s="14" t="n">
        <x:f>IF(D87=0,"",F87/D87)</x:f>
        <x:v>0.25</x:v>
      </x:c>
    </x:row>
    <x:row r="88" ht="20" customHeight="1">
      <x:c r="A88" s="15" t="n">
        <x:v>84</x:v>
      </x:c>
      <x:c r="B88" s="11" t="str">
        <x:v>M.Y. San Grahams Crackers 200g</x:v>
      </x:c>
      <x:c r="C88" s="27" t="n">
        <x:v>4800361417705</x:v>
      </x:c>
      <x:c r="D88" s="13" t="n">
        <x:v>48</x:v>
      </x:c>
      <x:c r="E88" s="13" t="n">
        <x:v>58</x:v>
      </x:c>
      <x:c r="F88" s="13" t="n">
        <x:f>E88-D88</x:f>
        <x:v>10</x:v>
      </x:c>
      <x:c r="G88" s="14" t="n">
        <x:f>IF(D88=0,"",F88/D88)</x:f>
        <x:v>0.20833333333333334</x:v>
      </x:c>
    </x:row>
    <x:row r="89" ht="20" customHeight="1">
      <x:c r="A89" s="15" t="n">
        <x:v>85</x:v>
      </x:c>
      <x:c r="B89" s="11" t="str">
        <x:v>Rite 'n Lite Cracker Sandwich</x:v>
      </x:c>
      <x:c r="C89" s="27" t="n">
        <x:v>4800361417804</x:v>
      </x:c>
      <x:c r="D89" s="13" t="n">
        <x:v>22</x:v>
      </x:c>
      <x:c r="E89" s="13" t="n">
        <x:v>28</x:v>
      </x:c>
      <x:c r="F89" s="13" t="n">
        <x:f>E89-D89</x:f>
        <x:v>6</x:v>
      </x:c>
      <x:c r="G89" s="14" t="n">
        <x:f>IF(D89=0,"",F89/D89)</x:f>
        <x:v>0.2727272727272727</x:v>
      </x:c>
    </x:row>
    <x:row r="90" ht="20" customHeight="1">
      <x:c r="A90" s="15" t="n">
        <x:v>86</x:v>
      </x:c>
      <x:c r="B90" s="11" t="str">
        <x:v>Pringles Sour Cream 107g</x:v>
      </x:c>
      <x:c r="C90" s="27" t="n">
        <x:v>4800361417903</x:v>
      </x:c>
      <x:c r="D90" s="13" t="n">
        <x:v>85</x:v>
      </x:c>
      <x:c r="E90" s="13" t="n">
        <x:v>98</x:v>
      </x:c>
      <x:c r="F90" s="13" t="n">
        <x:f>E90-D90</x:f>
        <x:v>13</x:v>
      </x:c>
      <x:c r="G90" s="14" t="n">
        <x:f>IF(D90=0,"",F90/D90)</x:f>
        <x:v>0.15294117647058825</x:v>
      </x:c>
    </x:row>
    <x:row r="91" ht="20" customHeight="1">
      <x:c r="A91" s="15" t="n">
        <x:v>87</x:v>
      </x:c>
      <x:c r="B91" s="11" t="str">
        <x:v>Lays Classic Potato Chips 105g</x:v>
      </x:c>
      <x:c r="C91" s="27" t="n">
        <x:v>4800361418009</x:v>
      </x:c>
      <x:c r="D91" s="13" t="n">
        <x:v>78</x:v>
      </x:c>
      <x:c r="E91" s="13" t="n">
        <x:v>92</x:v>
      </x:c>
      <x:c r="F91" s="13" t="n">
        <x:f>E91-D91</x:f>
        <x:v>14</x:v>
      </x:c>
      <x:c r="G91" s="14" t="n">
        <x:f>IF(D91=0,"",F91/D91)</x:f>
        <x:v>0.1794871794871795</x:v>
      </x:c>
    </x:row>
    <x:row r="92" ht="20" customHeight="1">
      <x:c r="A92" s="15" t="n">
        <x:v>88</x:v>
      </x:c>
      <x:c r="B92" s="11" t="str">
        <x:v>Tortillos Barbecue 90g</x:v>
      </x:c>
      <x:c r="C92" s="27" t="n">
        <x:v>4800361418108</x:v>
      </x:c>
      <x:c r="D92" s="13" t="n">
        <x:v>27</x:v>
      </x:c>
      <x:c r="E92" s="13" t="n">
        <x:v>34</x:v>
      </x:c>
      <x:c r="F92" s="13" t="n">
        <x:f>E92-D92</x:f>
        <x:v>7</x:v>
      </x:c>
      <x:c r="G92" s="14" t="n">
        <x:f>IF(D92=0,"",F92/D92)</x:f>
        <x:v>0.25925925925925924</x:v>
      </x:c>
    </x:row>
    <x:row r="93" ht="20" customHeight="1">
      <x:c r="A93" s="15" t="n">
        <x:v>89</x:v>
      </x:c>
      <x:c r="B93" s="11" t="str">
        <x:v>Oishi Prawn Crackers 90g</x:v>
      </x:c>
      <x:c r="C93" s="27" t="n">
        <x:v>4800361418207</x:v>
      </x:c>
      <x:c r="D93" s="13" t="n">
        <x:v>18</x:v>
      </x:c>
      <x:c r="E93" s="13" t="n">
        <x:v>24</x:v>
      </x:c>
      <x:c r="F93" s="13" t="n">
        <x:f>E93-D93</x:f>
        <x:v>6</x:v>
      </x:c>
      <x:c r="G93" s="14" t="n">
        <x:f>IF(D93=0,"",F93/D93)</x:f>
        <x:v>0.3333333333333333</x:v>
      </x:c>
    </x:row>
    <x:row r="94" ht="20" customHeight="1">
      <x:c r="A94" s="15" t="n">
        <x:v>90</x:v>
      </x:c>
      <x:c r="B94" s="11" t="str">
        <x:v>Martys Cracklin 90g</x:v>
      </x:c>
      <x:c r="C94" s="27" t="n">
        <x:v>4800361418306</x:v>
      </x:c>
      <x:c r="D94" s="13" t="n">
        <x:v>20</x:v>
      </x:c>
      <x:c r="E94" s="13" t="n">
        <x:v>26</x:v>
      </x:c>
      <x:c r="F94" s="13" t="n">
        <x:f>E94-D94</x:f>
        <x:v>6</x:v>
      </x:c>
      <x:c r="G94" s="14" t="n">
        <x:f>IF(D94=0,"",F94/D94)</x:f>
        <x:v>0.3</x:v>
      </x:c>
    </x:row>
    <x:row r="95" ht="20" customHeight="1">
      <x:c r="A95" s="15" t="n">
        <x:v>91</x:v>
      </x:c>
      <x:c r="B95" s="11" t="str">
        <x:v>Nestle Fresh Milk 1L</x:v>
      </x:c>
      <x:c r="C95" s="27" t="n">
        <x:v>4800361418405</x:v>
      </x:c>
      <x:c r="D95" s="13" t="n">
        <x:v>88</x:v>
      </x:c>
      <x:c r="E95" s="13" t="n">
        <x:v>102</x:v>
      </x:c>
      <x:c r="F95" s="13" t="n">
        <x:f>E95-D95</x:f>
        <x:v>14</x:v>
      </x:c>
      <x:c r="G95" s="14" t="n">
        <x:f>IF(D95=0,"",F95/D95)</x:f>
        <x:v>0.1590909090909091</x:v>
      </x:c>
    </x:row>
    <x:row r="96" ht="20" customHeight="1">
      <x:c r="A96" s="15" t="n">
        <x:v>92</x:v>
      </x:c>
      <x:c r="B96" s="11" t="str">
        <x:v>Bear Brand Sterilized 180ml</x:v>
      </x:c>
      <x:c r="C96" s="27" t="n">
        <x:v>4800361418504</x:v>
      </x:c>
      <x:c r="D96" s="13" t="n">
        <x:v>24</x:v>
      </x:c>
      <x:c r="E96" s="13" t="n">
        <x:v>30</x:v>
      </x:c>
      <x:c r="F96" s="13" t="n">
        <x:f>E96-D96</x:f>
        <x:v>6</x:v>
      </x:c>
      <x:c r="G96" s="14" t="n">
        <x:f>IF(D96=0,"",F96/D96)</x:f>
        <x:v>0.25</x:v>
      </x:c>
    </x:row>
    <x:row r="97" ht="20" customHeight="1">
      <x:c r="A97" s="15" t="n">
        <x:v>93</x:v>
      </x:c>
      <x:c r="B97" s="11" t="str">
        <x:v>Vitamilk Double Choco Shake 300ml</x:v>
      </x:c>
      <x:c r="C97" s="27" t="n">
        <x:v>4800361418603</x:v>
      </x:c>
      <x:c r="D97" s="13" t="n">
        <x:v>28</x:v>
      </x:c>
      <x:c r="E97" s="13" t="n">
        <x:v>35</x:v>
      </x:c>
      <x:c r="F97" s="13" t="n">
        <x:f>E97-D97</x:f>
        <x:v>7</x:v>
      </x:c>
      <x:c r="G97" s="14" t="n">
        <x:f>IF(D97=0,"",F97/D97)</x:f>
        <x:v>0.25</x:v>
      </x:c>
    </x:row>
    <x:row r="98" ht="20" customHeight="1">
      <x:c r="A98" s="15" t="n">
        <x:v>94</x:v>
      </x:c>
      <x:c r="B98" s="11" t="str">
        <x:v>Dutch Mill Yogurt Drink 180ml</x:v>
      </x:c>
      <x:c r="C98" s="27" t="n">
        <x:v>4800361418702</x:v>
      </x:c>
      <x:c r="D98" s="13" t="n">
        <x:v>16</x:v>
      </x:c>
      <x:c r="E98" s="13" t="n">
        <x:v>20</x:v>
      </x:c>
      <x:c r="F98" s="13" t="n">
        <x:f>E98-D98</x:f>
        <x:v>4</x:v>
      </x:c>
      <x:c r="G98" s="14" t="n">
        <x:f>IF(D98=0,"",F98/D98)</x:f>
        <x:v>0.25</x:v>
      </x:c>
    </x:row>
    <x:row r="99" ht="20" customHeight="1">
      <x:c r="A99" s="15" t="n">
        <x:v>95</x:v>
      </x:c>
      <x:c r="B99" s="11" t="str">
        <x:v>Magnolia Chocolait 250ml</x:v>
      </x:c>
      <x:c r="C99" s="27" t="n">
        <x:v>4800361418801</x:v>
      </x:c>
      <x:c r="D99" s="13" t="n">
        <x:v>24</x:v>
      </x:c>
      <x:c r="E99" s="13" t="n">
        <x:v>30</x:v>
      </x:c>
      <x:c r="F99" s="13" t="n">
        <x:f>E99-D99</x:f>
        <x:v>6</x:v>
      </x:c>
      <x:c r="G99" s="14" t="n">
        <x:f>IF(D99=0,"",F99/D99)</x:f>
        <x:v>0.25</x:v>
      </x:c>
    </x:row>
    <x:row r="100" ht="20" customHeight="1">
      <x:c r="A100" s="15" t="n">
        <x:v>96</x:v>
      </x:c>
      <x:c r="B100" s="11" t="str">
        <x:v>Mineral Water Gallon 5L</x:v>
      </x:c>
      <x:c r="C100" s="27" t="n">
        <x:v>4800361418900</x:v>
      </x:c>
      <x:c r="D100" s="13" t="n">
        <x:v>48</x:v>
      </x:c>
      <x:c r="E100" s="13" t="n">
        <x:v>60</x:v>
      </x:c>
      <x:c r="F100" s="13" t="n">
        <x:f>E100-D100</x:f>
        <x:v>12</x:v>
      </x:c>
      <x:c r="G100" s="14" t="n">
        <x:f>IF(D100=0,"",F100/D100)</x:f>
        <x:v>0.25</x:v>
      </x:c>
    </x:row>
    <x:row r="101" ht="20" customHeight="1">
      <x:c r="A101" s="15" t="n">
        <x:v>97</x:v>
      </x:c>
      <x:c r="B101" s="11" t="str">
        <x:v>Absolute Distilled Water 500ml</x:v>
      </x:c>
      <x:c r="C101" s="27" t="n">
        <x:v>4800361419006</x:v>
      </x:c>
      <x:c r="D101" s="13" t="n">
        <x:v>12</x:v>
      </x:c>
      <x:c r="E101" s="13" t="n">
        <x:v>16</x:v>
      </x:c>
      <x:c r="F101" s="13" t="n">
        <x:f>E101-D101</x:f>
        <x:v>4</x:v>
      </x:c>
      <x:c r="G101" s="14" t="n">
        <x:f>IF(D101=0,"",F101/D101)</x:f>
        <x:v>0.3333333333333333</x:v>
      </x:c>
    </x:row>
    <x:row r="102" ht="20" customHeight="1">
      <x:c r="A102" s="15" t="n">
        <x:v>98</x:v>
      </x:c>
      <x:c r="B102" s="11" t="str">
        <x:v>Cobra Energy Drink 350ml</x:v>
      </x:c>
      <x:c r="C102" s="27" t="n">
        <x:v>4800361419105</x:v>
      </x:c>
      <x:c r="D102" s="13" t="n">
        <x:v>18</x:v>
      </x:c>
      <x:c r="E102" s="13" t="n">
        <x:v>23</x:v>
      </x:c>
      <x:c r="F102" s="13" t="n">
        <x:f>E102-D102</x:f>
        <x:v>5</x:v>
      </x:c>
      <x:c r="G102" s="14" t="n">
        <x:f>IF(D102=0,"",F102/D102)</x:f>
        <x:v>0.2777777777777778</x:v>
      </x:c>
    </x:row>
    <x:row r="103" ht="20" customHeight="1">
      <x:c r="A103" s="15" t="n">
        <x:v>99</x:v>
      </x:c>
      <x:c r="B103" s="11" t="str">
        <x:v>Red Bull Energy Drink 250ml</x:v>
      </x:c>
      <x:c r="C103" s="27" t="n">
        <x:v>4800361419204</x:v>
      </x:c>
      <x:c r="D103" s="13" t="n">
        <x:v>42</x:v>
      </x:c>
      <x:c r="E103" s="13" t="n">
        <x:v>50</x:v>
      </x:c>
      <x:c r="F103" s="13" t="n">
        <x:f>E103-D103</x:f>
        <x:v>8</x:v>
      </x:c>
      <x:c r="G103" s="14" t="n">
        <x:f>IF(D103=0,"",F103/D103)</x:f>
        <x:v>0.19047619047619047</x:v>
      </x:c>
    </x:row>
    <x:row r="104" ht="20" customHeight="1">
      <x:c r="A104" s="15" t="n">
        <x:v>100</x:v>
      </x:c>
      <x:c r="B104" s="11" t="str">
        <x:v>Minute Maid Orange 300ml</x:v>
      </x:c>
      <x:c r="C104" s="27" t="n">
        <x:v>4800361419303</x:v>
      </x:c>
      <x:c r="D104" s="13" t="n">
        <x:v>18</x:v>
      </x:c>
      <x:c r="E104" s="13" t="n">
        <x:v>24</x:v>
      </x:c>
      <x:c r="F104" s="13" t="n">
        <x:f>E104-D104</x:f>
        <x:v>6</x:v>
      </x:c>
      <x:c r="G104" s="14" t="n">
        <x:f>IF(D104=0,"",F104/D104)</x:f>
        <x:v>0.3333333333333333</x:v>
      </x:c>
    </x:row>
    <x:row r="105" ht="20" customHeight="1">
      <x:c r="A105" s="15" t="n">
        <x:v>101</x:v>
      </x:c>
      <x:c r="B105" s="11" t="str">
        <x:v>Tang Orange Powdered Juice 19g</x:v>
      </x:c>
      <x:c r="C105" s="27" t="n">
        <x:v>4800361419402</x:v>
      </x:c>
      <x:c r="D105" s="13" t="n">
        <x:v>8</x:v>
      </x:c>
      <x:c r="E105" s="13" t="n">
        <x:v>11</x:v>
      </x:c>
      <x:c r="F105" s="13" t="n">
        <x:f>E105-D105</x:f>
        <x:v>3</x:v>
      </x:c>
      <x:c r="G105" s="14" t="n">
        <x:f>IF(D105=0,"",F105/D105)</x:f>
        <x:v>0.375</x:v>
      </x:c>
    </x:row>
    <x:row r="106" ht="20" customHeight="1">
      <x:c r="A106" s="15" t="n">
        <x:v>102</x:v>
      </x:c>
      <x:c r="B106" s="11" t="str">
        <x:v>Nestea Iced Tea Lemon 25g</x:v>
      </x:c>
      <x:c r="C106" s="27" t="n">
        <x:v>4800361419501</x:v>
      </x:c>
      <x:c r="D106" s="13" t="n">
        <x:v>9</x:v>
      </x:c>
      <x:c r="E106" s="13" t="n">
        <x:v>12</x:v>
      </x:c>
      <x:c r="F106" s="13" t="n">
        <x:f>E106-D106</x:f>
        <x:v>3</x:v>
      </x:c>
      <x:c r="G106" s="14" t="n">
        <x:f>IF(D106=0,"",F106/D106)</x:f>
        <x:v>0.3333333333333333</x:v>
      </x:c>
    </x:row>
    <x:row r="107" ht="20" customHeight="1">
      <x:c r="A107" s="15" t="n">
        <x:v>103</x:v>
      </x:c>
      <x:c r="B107" s="11" t="str">
        <x:v>Milo Active-Go 22g</x:v>
      </x:c>
      <x:c r="C107" s="27" t="n">
        <x:v>4800361419600</x:v>
      </x:c>
      <x:c r="D107" s="13" t="n">
        <x:v>10</x:v>
      </x:c>
      <x:c r="E107" s="13" t="n">
        <x:v>13</x:v>
      </x:c>
      <x:c r="F107" s="13" t="n">
        <x:f>E107-D107</x:f>
        <x:v>3</x:v>
      </x:c>
      <x:c r="G107" s="14" t="n">
        <x:f>IF(D107=0,"",F107/D107)</x:f>
        <x:v>0.3</x:v>
      </x:c>
    </x:row>
    <x:row r="108" ht="20" customHeight="1">
      <x:c r="A108" s="15" t="n">
        <x:v>104</x:v>
      </x:c>
      <x:c r="B108" s="11" t="str">
        <x:v>Ovaltine Chocolate Drink 22g</x:v>
      </x:c>
      <x:c r="C108" s="27" t="n">
        <x:v>4800361419709</x:v>
      </x:c>
      <x:c r="D108" s="13" t="n">
        <x:v>10</x:v>
      </x:c>
      <x:c r="E108" s="13" t="n">
        <x:v>13</x:v>
      </x:c>
      <x:c r="F108" s="13" t="n">
        <x:f>E108-D108</x:f>
        <x:v>3</x:v>
      </x:c>
      <x:c r="G108" s="14" t="n">
        <x:f>IF(D108=0,"",F108/D108)</x:f>
        <x:v>0.3</x:v>
      </x:c>
    </x:row>
    <x:row r="109" ht="20" customHeight="1">
      <x:c r="A109" s="15" t="n">
        <x:v>105</x:v>
      </x:c>
      <x:c r="B109" s="11" t="str">
        <x:v>Paper Towel Roll 1pc</x:v>
      </x:c>
      <x:c r="C109" s="27" t="n">
        <x:v>4800361419808</x:v>
      </x:c>
      <x:c r="D109" s="13" t="n">
        <x:v>28</x:v>
      </x:c>
      <x:c r="E109" s="13" t="n">
        <x:v>35</x:v>
      </x:c>
      <x:c r="F109" s="13" t="n">
        <x:f>E109-D109</x:f>
        <x:v>7</x:v>
      </x:c>
      <x:c r="G109" s="14" t="n">
        <x:f>IF(D109=0,"",F109/D109)</x:f>
        <x:v>0.25</x:v>
      </x:c>
    </x:row>
    <x:row r="110" ht="20" customHeight="1">
      <x:c r="A110" s="15" t="n">
        <x:v>106</x:v>
      </x:c>
      <x:c r="B110" s="11" t="str">
        <x:v>Feminine Napkin 8s</x:v>
      </x:c>
      <x:c r="C110" s="27" t="n">
        <x:v>4800361419907</x:v>
      </x:c>
      <x:c r="D110" s="13" t="n">
        <x:v>32</x:v>
      </x:c>
      <x:c r="E110" s="13" t="n">
        <x:v>40</x:v>
      </x:c>
      <x:c r="F110" s="13" t="n">
        <x:f>E110-D110</x:f>
        <x:v>8</x:v>
      </x:c>
      <x:c r="G110" s="14" t="n">
        <x:f>IF(D110=0,"",F110/D110)</x:f>
        <x:v>0.25</x:v>
      </x:c>
    </x:row>
    <x:row r="111" ht="20" customHeight="1">
      <x:c r="A111" s="15" t="n">
        <x:v>107</x:v>
      </x:c>
      <x:c r="B111" s="11" t="str">
        <x:v>Toothbrush Medium 1pc</x:v>
      </x:c>
      <x:c r="C111" s="27" t="n">
        <x:v>4800361420002</x:v>
      </x:c>
      <x:c r="D111" s="13" t="n">
        <x:v>18</x:v>
      </x:c>
      <x:c r="E111" s="13" t="n">
        <x:v>24</x:v>
      </x:c>
      <x:c r="F111" s="13" t="n">
        <x:f>E111-D111</x:f>
        <x:v>6</x:v>
      </x:c>
      <x:c r="G111" s="14" t="n">
        <x:f>IF(D111=0,"",F111/D111)</x:f>
        <x:v>0.3333333333333333</x:v>
      </x:c>
    </x:row>
    <x:row r="112" ht="20" customHeight="1">
      <x:c r="A112" s="15" t="n">
        <x:v>108</x:v>
      </x:c>
      <x:c r="B112" s="11" t="str">
        <x:v>Disposable Razor 2pcs</x:v>
      </x:c>
      <x:c r="C112" s="27" t="n">
        <x:v>4800361420101</x:v>
      </x:c>
      <x:c r="D112" s="13" t="n">
        <x:v>20</x:v>
      </x:c>
      <x:c r="E112" s="13" t="n">
        <x:v>26</x:v>
      </x:c>
      <x:c r="F112" s="13" t="n">
        <x:f>E112-D112</x:f>
        <x:v>6</x:v>
      </x:c>
      <x:c r="G112" s="14" t="n">
        <x:f>IF(D112=0,"",F112/D112)</x:f>
        <x:v>0.3</x:v>
      </x:c>
    </x:row>
    <x:row r="113" ht="20" customHeight="1">
      <x:c r="A113" s="15" t="n">
        <x:v>109</x:v>
      </x:c>
      <x:c r="B113" s="11" t="str">
        <x:v>Shaving Cream 50g</x:v>
      </x:c>
      <x:c r="C113" s="27" t="n">
        <x:v>4800361420200</x:v>
      </x:c>
      <x:c r="D113" s="13" t="n">
        <x:v>42</x:v>
      </x:c>
      <x:c r="E113" s="13" t="n">
        <x:v>52</x:v>
      </x:c>
      <x:c r="F113" s="13" t="n">
        <x:f>E113-D113</x:f>
        <x:v>10</x:v>
      </x:c>
      <x:c r="G113" s="14" t="n">
        <x:f>IF(D113=0,"",F113/D113)</x:f>
        <x:v>0.23809523809523808</x:v>
      </x:c>
    </x:row>
    <x:row r="114" ht="20" customHeight="1">
      <x:c r="A114" s="15" t="n">
        <x:v>110</x:v>
      </x:c>
      <x:c r="B114" s="11" t="str">
        <x:v>Baby Wipes 80s</x:v>
      </x:c>
      <x:c r="C114" s="27" t="n">
        <x:v>4800361420309</x:v>
      </x:c>
      <x:c r="D114" s="13" t="n">
        <x:v>68</x:v>
      </x:c>
      <x:c r="E114" s="13" t="n">
        <x:v>82</x:v>
      </x:c>
      <x:c r="F114" s="13" t="n">
        <x:f>E114-D114</x:f>
        <x:v>14</x:v>
      </x:c>
      <x:c r="G114" s="14" t="n">
        <x:f>IF(D114=0,"",F114/D114)</x:f>
        <x:v>0.20588235294117646</x:v>
      </x:c>
    </x:row>
    <x:row r="115" ht="20" customHeight="1">
      <x:c r="A115" s="15" t="n">
        <x:v>111</x:v>
      </x:c>
      <x:c r="B115" s="11" t="str">
        <x:v>Johnsons Baby Powder 100g</x:v>
      </x:c>
      <x:c r="C115" s="27" t="n">
        <x:v>4800361420408</x:v>
      </x:c>
      <x:c r="D115" s="13" t="n">
        <x:v>42</x:v>
      </x:c>
      <x:c r="E115" s="13" t="n">
        <x:v>52</x:v>
      </x:c>
      <x:c r="F115" s="13" t="n">
        <x:f>E115-D115</x:f>
        <x:v>10</x:v>
      </x:c>
      <x:c r="G115" s="14" t="n">
        <x:f>IF(D115=0,"",F115/D115)</x:f>
        <x:v>0.23809523809523808</x:v>
      </x:c>
    </x:row>
    <x:row r="116" ht="20" customHeight="1">
      <x:c r="A116" s="15" t="n">
        <x:v>112</x:v>
      </x:c>
      <x:c r="B116" s="11" t="str">
        <x:v>Johnsons Baby Oil 100ml</x:v>
      </x:c>
      <x:c r="C116" s="27" t="n">
        <x:v>4800361420507</x:v>
      </x:c>
      <x:c r="D116" s="13" t="n">
        <x:v>48</x:v>
      </x:c>
      <x:c r="E116" s="13" t="n">
        <x:v>60</x:v>
      </x:c>
      <x:c r="F116" s="13" t="n">
        <x:f>E116-D116</x:f>
        <x:v>12</x:v>
      </x:c>
      <x:c r="G116" s="14" t="n">
        <x:f>IF(D116=0,"",F116/D116)</x:f>
        <x:v>0.25</x:v>
      </x:c>
    </x:row>
    <x:row r="117" ht="20" customHeight="1">
      <x:c r="A117" s="15" t="n">
        <x:v>113</x:v>
      </x:c>
      <x:c r="B117" s="11" t="str">
        <x:v>Modess Cottony Soft 8s</x:v>
      </x:c>
      <x:c r="C117" s="27" t="n">
        <x:v>4800361420606</x:v>
      </x:c>
      <x:c r="D117" s="13" t="n">
        <x:v>34</x:v>
      </x:c>
      <x:c r="E117" s="13" t="n">
        <x:v>42</x:v>
      </x:c>
      <x:c r="F117" s="13" t="n">
        <x:f>E117-D117</x:f>
        <x:v>8</x:v>
      </x:c>
      <x:c r="G117" s="14" t="n">
        <x:f>IF(D117=0,"",F117/D117)</x:f>
        <x:v>0.23529411764705882</x:v>
      </x:c>
    </x:row>
    <x:row r="118" ht="20" customHeight="1">
      <x:c r="A118" s="15" t="n">
        <x:v>114</x:v>
      </x:c>
      <x:c r="B118" s="11" t="str">
        <x:v>Efficient Charcoal Soap 135g</x:v>
      </x:c>
      <x:c r="C118" s="27" t="n">
        <x:v>4800361420705</x:v>
      </x:c>
      <x:c r="D118" s="13" t="n">
        <x:v>26</x:v>
      </x:c>
      <x:c r="E118" s="13" t="n">
        <x:v>32</x:v>
      </x:c>
      <x:c r="F118" s="13" t="n">
        <x:f>E118-D118</x:f>
        <x:v>6</x:v>
      </x:c>
      <x:c r="G118" s="14" t="n">
        <x:f>IF(D118=0,"",F118/D118)</x:f>
        <x:v>0.23076923076923078</x:v>
      </x:c>
    </x:row>
    <x:row r="119" ht="20" customHeight="1">
      <x:c r="A119" s="15" t="n">
        <x:v>115</x:v>
      </x:c>
      <x:c r="B119" s="11" t="str">
        <x:v>Perla Laundry Soap 125g</x:v>
      </x:c>
      <x:c r="C119" s="27" t="n">
        <x:v>4800361420804</x:v>
      </x:c>
      <x:c r="D119" s="13" t="n">
        <x:v>16</x:v>
      </x:c>
      <x:c r="E119" s="13" t="n">
        <x:v>21</x:v>
      </x:c>
      <x:c r="F119" s="13" t="n">
        <x:f>E119-D119</x:f>
        <x:v>5</x:v>
      </x:c>
      <x:c r="G119" s="14" t="n">
        <x:f>IF(D119=0,"",F119/D119)</x:f>
        <x:v>0.3125</x:v>
      </x:c>
    </x:row>
    <x:row r="120" ht="20" customHeight="1">
      <x:c r="A120" s="15" t="n">
        <x:v>116</x:v>
      </x:c>
      <x:c r="B120" s="11" t="str">
        <x:v>Breeze Powder 66g</x:v>
      </x:c>
      <x:c r="C120" s="27" t="n">
        <x:v>4800361420903</x:v>
      </x:c>
      <x:c r="D120" s="13" t="n">
        <x:v>8.5</x:v>
      </x:c>
      <x:c r="E120" s="13" t="n">
        <x:v>11</x:v>
      </x:c>
      <x:c r="F120" s="13" t="n">
        <x:f>E120-D120</x:f>
        <x:v>2.5</x:v>
      </x:c>
      <x:c r="G120" s="14" t="n">
        <x:f>IF(D120=0,"",F120/D120)</x:f>
        <x:v>0.29411764705882354</x:v>
      </x:c>
    </x:row>
    <x:row r="121" ht="20" customHeight="1">
      <x:c r="A121" s="15" t="n">
        <x:v>117</x:v>
      </x:c>
      <x:c r="B121" s="11" t="str">
        <x:v>Mr Muscle All Purpose Cleaner 500ml</x:v>
      </x:c>
      <x:c r="C121" s="27" t="n">
        <x:v>4800361421009</x:v>
      </x:c>
      <x:c r="D121" s="13" t="n">
        <x:v>68</x:v>
      </x:c>
      <x:c r="E121" s="13" t="n">
        <x:v>82</x:v>
      </x:c>
      <x:c r="F121" s="13" t="n">
        <x:f>E121-D121</x:f>
        <x:v>14</x:v>
      </x:c>
      <x:c r="G121" s="14" t="n">
        <x:f>IF(D121=0,"",F121/D121)</x:f>
        <x:v>0.20588235294117646</x:v>
      </x:c>
    </x:row>
    <x:row r="122" ht="20" customHeight="1">
      <x:c r="A122" s="15" t="n">
        <x:v>118</x:v>
      </x:c>
      <x:c r="B122" s="11" t="str">
        <x:v>Baygon Multi-Insect Killer 300ml</x:v>
      </x:c>
      <x:c r="C122" s="27" t="n">
        <x:v>4800361421108</x:v>
      </x:c>
      <x:c r="D122" s="13" t="n">
        <x:v>115</x:v>
      </x:c>
      <x:c r="E122" s="13" t="n">
        <x:v>130</x:v>
      </x:c>
      <x:c r="F122" s="13" t="n">
        <x:f>E122-D122</x:f>
        <x:v>15</x:v>
      </x:c>
      <x:c r="G122" s="14" t="n">
        <x:f>IF(D122=0,"",F122/D122)</x:f>
        <x:v>0.13043478260869565</x:v>
      </x:c>
    </x:row>
    <x:row r="123" ht="20" customHeight="1">
      <x:c r="A123" s="15" t="n">
        <x:v>119</x:v>
      </x:c>
      <x:c r="B123" s="11" t="str">
        <x:v>Match Box 10s</x:v>
      </x:c>
      <x:c r="C123" s="27" t="n">
        <x:v>4800361421207</x:v>
      </x:c>
      <x:c r="D123" s="13" t="n">
        <x:v>7</x:v>
      </x:c>
      <x:c r="E123" s="13" t="n">
        <x:v>10</x:v>
      </x:c>
      <x:c r="F123" s="13" t="n">
        <x:f>E123-D123</x:f>
        <x:v>3</x:v>
      </x:c>
      <x:c r="G123" s="14" t="n">
        <x:f>IF(D123=0,"",F123/D123)</x:f>
        <x:v>0.42857142857142855</x:v>
      </x:c>
    </x:row>
    <x:row r="124" ht="20" customHeight="1">
      <x:c r="A124" s="15" t="n">
        <x:v>120</x:v>
      </x:c>
      <x:c r="B124" s="11" t="str">
        <x:v>Candle White 10pcs Pack</x:v>
      </x:c>
      <x:c r="C124" s="27" t="n">
        <x:v>4800361421306</x:v>
      </x:c>
      <x:c r="D124" s="13" t="n">
        <x:v>24</x:v>
      </x:c>
      <x:c r="E124" s="13" t="n">
        <x:v>30</x:v>
      </x:c>
      <x:c r="F124" s="13" t="n">
        <x:f>E124-D124</x:f>
        <x:v>6</x:v>
      </x:c>
      <x:c r="G124" s="14" t="n">
        <x:f>IF(D124=0,"",F124/D124)</x:f>
        <x:v>0.25</x:v>
      </x:c>
    </x:row>
    <x:row r="125" ht="20" customHeight="1">
      <x:c r="A125" s="15" t="n">
        <x:v>121</x:v>
      </x:c>
      <x:c r="B125" s="11" t="str">
        <x:v>Chicken Hotdog Regular 250g</x:v>
      </x:c>
      <x:c r="C125" s="27" t="n">
        <x:v>4800361421405</x:v>
      </x:c>
      <x:c r="D125" s="13" t="n">
        <x:v>52</x:v>
      </x:c>
      <x:c r="E125" s="13" t="n">
        <x:v>64</x:v>
      </x:c>
      <x:c r="F125" s="13" t="n">
        <x:f>E125-D125</x:f>
        <x:v>12</x:v>
      </x:c>
      <x:c r="G125" s="14" t="n">
        <x:f>IF(D125=0,"",F125/D125)</x:f>
        <x:v>0.23076923076923078</x:v>
      </x:c>
    </x:row>
    <x:row r="126" ht="20" customHeight="1">
      <x:c r="A126" s="15" t="n">
        <x:v>122</x:v>
      </x:c>
      <x:c r="B126" s="11" t="str">
        <x:v>CDO Beef Hotdog 250g</x:v>
      </x:c>
      <x:c r="C126" s="27" t="n">
        <x:v>4800361421504</x:v>
      </x:c>
      <x:c r="D126" s="13" t="n">
        <x:v>58</x:v>
      </x:c>
      <x:c r="E126" s="13" t="n">
        <x:v>70</x:v>
      </x:c>
      <x:c r="F126" s="13" t="n">
        <x:f>E126-D126</x:f>
        <x:v>12</x:v>
      </x:c>
      <x:c r="G126" s="14" t="n">
        <x:f>IF(D126=0,"",F126/D126)</x:f>
        <x:v>0.20689655172413793</x:v>
      </x:c>
    </x:row>
    <x:row r="127" ht="20" customHeight="1">
      <x:c r="A127" s="15" t="n">
        <x:v>123</x:v>
      </x:c>
      <x:c r="B127" s="11" t="str">
        <x:v>Purefoods Tender Juicy Hotdog 1kg</x:v>
      </x:c>
      <x:c r="C127" s="27" t="n">
        <x:v>4800361421603</x:v>
      </x:c>
      <x:c r="D127" s="13" t="n">
        <x:v>185</x:v>
      </x:c>
      <x:c r="E127" s="13" t="n">
        <x:v>210</x:v>
      </x:c>
      <x:c r="F127" s="13" t="n">
        <x:f>E127-D127</x:f>
        <x:v>25</x:v>
      </x:c>
      <x:c r="G127" s="14" t="n">
        <x:f>IF(D127=0,"",F127/D127)</x:f>
        <x:v>0.13513513513513514</x:v>
      </x:c>
    </x:row>
    <x:row r="128" ht="20" customHeight="1">
      <x:c r="A128" s="15" t="n">
        <x:v>124</x:v>
      </x:c>
      <x:c r="B128" s="11" t="str">
        <x:v>Magnolia Chicken Nuggets 200g</x:v>
      </x:c>
      <x:c r="C128" s="27" t="n">
        <x:v>4800361421702</x:v>
      </x:c>
      <x:c r="D128" s="13" t="n">
        <x:v>78</x:v>
      </x:c>
      <x:c r="E128" s="13" t="n">
        <x:v>92</x:v>
      </x:c>
      <x:c r="F128" s="13" t="n">
        <x:f>E128-D128</x:f>
        <x:v>14</x:v>
      </x:c>
      <x:c r="G128" s="14" t="n">
        <x:f>IF(D128=0,"",F128/D128)</x:f>
        <x:v>0.1794871794871795</x:v>
      </x:c>
    </x:row>
    <x:row r="129" ht="20" customHeight="1">
      <x:c r="A129" s="15" t="n">
        <x:v>125</x:v>
      </x:c>
      <x:c r="B129" s="11" t="str">
        <x:v>Monterey Longganisa 250g</x:v>
      </x:c>
      <x:c r="C129" s="27" t="n">
        <x:v>4800361421801</x:v>
      </x:c>
      <x:c r="D129" s="13" t="n">
        <x:v>72</x:v>
      </x:c>
      <x:c r="E129" s="13" t="n">
        <x:v>86</x:v>
      </x:c>
      <x:c r="F129" s="13" t="n">
        <x:f>E129-D129</x:f>
        <x:v>14</x:v>
      </x:c>
      <x:c r="G129" s="14" t="n">
        <x:f>IF(D129=0,"",F129/D129)</x:f>
        <x:v>0.19444444444444445</x:v>
      </x:c>
    </x:row>
    <x:row r="130" ht="20" customHeight="1">
      <x:c r="A130" s="15" t="n">
        <x:v>126</x:v>
      </x:c>
      <x:c r="B130" s="11" t="str">
        <x:v>Eggs Medium 1 Dozen</x:v>
      </x:c>
      <x:c r="C130" s="27" t="n">
        <x:v>4800361421900</x:v>
      </x:c>
      <x:c r="D130" s="13" t="n">
        <x:v>78</x:v>
      </x:c>
      <x:c r="E130" s="13" t="n">
        <x:v>92</x:v>
      </x:c>
      <x:c r="F130" s="13" t="n">
        <x:f>E130-D130</x:f>
        <x:v>14</x:v>
      </x:c>
      <x:c r="G130" s="14" t="n">
        <x:f>IF(D130=0,"",F130/D130)</x:f>
        <x:v>0.1794871794871795</x:v>
      </x:c>
    </x:row>
    <x:row r="131" ht="20" customHeight="1">
      <x:c r="A131" s="15" t="n">
        <x:v>127</x:v>
      </x:c>
      <x:c r="B131" s="11" t="str">
        <x:v>Eggs Large 1 Dozen</x:v>
      </x:c>
      <x:c r="C131" s="27" t="n">
        <x:v>4800361422006</x:v>
      </x:c>
      <x:c r="D131" s="13" t="n">
        <x:v>84</x:v>
      </x:c>
      <x:c r="E131" s="13" t="n">
        <x:v>98</x:v>
      </x:c>
      <x:c r="F131" s="13" t="n">
        <x:f>E131-D131</x:f>
        <x:v>14</x:v>
      </x:c>
      <x:c r="G131" s="14" t="n">
        <x:f>IF(D131=0,"",F131/D131)</x:f>
        <x:v>0.16666666666666666</x:v>
      </x:c>
    </x:row>
    <x:row r="132" ht="20" customHeight="1">
      <x:c r="A132" s="15" t="n">
        <x:v>128</x:v>
      </x:c>
      <x:c r="B132" s="11" t="str">
        <x:v>Buttercup Margarine 225g</x:v>
      </x:c>
      <x:c r="C132" s="27" t="n">
        <x:v>4800361422105</x:v>
      </x:c>
      <x:c r="D132" s="13" t="n">
        <x:v>42</x:v>
      </x:c>
      <x:c r="E132" s="13" t="n">
        <x:v>52</x:v>
      </x:c>
      <x:c r="F132" s="13" t="n">
        <x:f>E132-D132</x:f>
        <x:v>10</x:v>
      </x:c>
      <x:c r="G132" s="14" t="n">
        <x:f>IF(D132=0,"",F132/D132)</x:f>
        <x:v>0.23809523809523808</x:v>
      </x:c>
    </x:row>
    <x:row r="133" ht="20" customHeight="1">
      <x:c r="A133" s="15" t="n">
        <x:v>129</x:v>
      </x:c>
      <x:c r="B133" s="11" t="str">
        <x:v>Star Margarine Classic 250g</x:v>
      </x:c>
      <x:c r="C133" s="27" t="n">
        <x:v>4800361422204</x:v>
      </x:c>
      <x:c r="D133" s="13" t="n">
        <x:v>48</x:v>
      </x:c>
      <x:c r="E133" s="13" t="n">
        <x:v>58</x:v>
      </x:c>
      <x:c r="F133" s="13" t="n">
        <x:f>E133-D133</x:f>
        <x:v>10</x:v>
      </x:c>
      <x:c r="G133" s="14" t="n">
        <x:f>IF(D133=0,"",F133/D133)</x:f>
        <x:v>0.20833333333333334</x:v>
      </x:c>
    </x:row>
    <x:row r="134" ht="20" customHeight="1">
      <x:c r="A134" s="15" t="n">
        <x:v>130</x:v>
      </x:c>
      <x:c r="B134" s="11" t="str">
        <x:v>Dari Creme Margarine 100g</x:v>
      </x:c>
      <x:c r="C134" s="27" t="n">
        <x:v>4800361422303</x:v>
      </x:c>
      <x:c r="D134" s="13" t="n">
        <x:v>18</x:v>
      </x:c>
      <x:c r="E134" s="13" t="n">
        <x:v>24</x:v>
      </x:c>
      <x:c r="F134" s="13" t="n">
        <x:f>E134-D134</x:f>
        <x:v>6</x:v>
      </x:c>
      <x:c r="G134" s="14" t="n">
        <x:f>IF(D134=0,"",F134/D134)</x:f>
        <x:v>0.3333333333333333</x:v>
      </x:c>
    </x:row>
    <x:row r="135" ht="20" customHeight="1">
      <x:c r="A135" s="15" t="n">
        <x:v>131</x:v>
      </x:c>
      <x:c r="B135" s="11" t="str">
        <x:v>Sunflower Cooking Oil 250ml</x:v>
      </x:c>
      <x:c r="C135" s="27" t="n">
        <x:v>4800361422402</x:v>
      </x:c>
      <x:c r="D135" s="13" t="n">
        <x:v>24</x:v>
      </x:c>
      <x:c r="E135" s="13" t="n">
        <x:v>30</x:v>
      </x:c>
      <x:c r="F135" s="13" t="n">
        <x:f>E135-D135</x:f>
        <x:v>6</x:v>
      </x:c>
      <x:c r="G135" s="14" t="n">
        <x:f>IF(D135=0,"",F135/D135)</x:f>
        <x:v>0.25</x:v>
      </x:c>
    </x:row>
    <x:row r="136" ht="20" customHeight="1">
      <x:c r="A136" s="15" t="n">
        <x:v>132</x:v>
      </x:c>
      <x:c r="B136" s="11" t="str">
        <x:v>Baguio Cooking Oil 500ml</x:v>
      </x:c>
      <x:c r="C136" s="27" t="n">
        <x:v>4800361422501</x:v>
      </x:c>
      <x:c r="D136" s="13" t="n">
        <x:v>48</x:v>
      </x:c>
      <x:c r="E136" s="13" t="n">
        <x:v>58</x:v>
      </x:c>
      <x:c r="F136" s="13" t="n">
        <x:f>E136-D136</x:f>
        <x:v>10</x:v>
      </x:c>
      <x:c r="G136" s="14" t="n">
        <x:f>IF(D136=0,"",F136/D136)</x:f>
        <x:v>0.20833333333333334</x:v>
      </x:c>
    </x:row>
    <x:row r="137" ht="20" customHeight="1">
      <x:c r="A137" s="15" t="n">
        <x:v>133</x:v>
      </x:c>
      <x:c r="B137" s="11" t="str">
        <x:v>Golden Fiesta Cooking Oil 1L</x:v>
      </x:c>
      <x:c r="C137" s="27" t="n">
        <x:v>4800361422600</x:v>
      </x:c>
      <x:c r="D137" s="13" t="n">
        <x:v>108</x:v>
      </x:c>
      <x:c r="E137" s="13" t="n">
        <x:v>125</x:v>
      </x:c>
      <x:c r="F137" s="13" t="n">
        <x:f>E137-D137</x:f>
        <x:v>17</x:v>
      </x:c>
      <x:c r="G137" s="14" t="n">
        <x:f>IF(D137=0,"",F137/D137)</x:f>
        <x:v>0.1574074074074074</x:v>
      </x:c>
    </x:row>
    <x:row r="138" ht="20" customHeight="1">
      <x:c r="A138" s="15" t="n">
        <x:v>134</x:v>
      </x:c>
      <x:c r="B138" s="11" t="str">
        <x:v>Rice Premium 1kg</x:v>
      </x:c>
      <x:c r="C138" s="27" t="n">
        <x:v>4800361422709</x:v>
      </x:c>
      <x:c r="D138" s="13" t="n">
        <x:v>52</x:v>
      </x:c>
      <x:c r="E138" s="13" t="n">
        <x:v>62</x:v>
      </x:c>
      <x:c r="F138" s="13" t="n">
        <x:f>E138-D138</x:f>
        <x:v>10</x:v>
      </x:c>
      <x:c r="G138" s="14" t="n">
        <x:f>IF(D138=0,"",F138/D138)</x:f>
        <x:v>0.19230769230769232</x:v>
      </x:c>
    </x:row>
    <x:row r="139" ht="20" customHeight="1">
      <x:c r="A139" s="15" t="n">
        <x:v>135</x:v>
      </x:c>
      <x:c r="B139" s="11" t="str">
        <x:v>Rice Well-Milled 1kg</x:v>
      </x:c>
      <x:c r="C139" s="27" t="n">
        <x:v>4800361422808</x:v>
      </x:c>
      <x:c r="D139" s="13" t="n">
        <x:v>46</x:v>
      </x:c>
      <x:c r="E139" s="13" t="n">
        <x:v>56</x:v>
      </x:c>
      <x:c r="F139" s="13" t="n">
        <x:f>E139-D139</x:f>
        <x:v>10</x:v>
      </x:c>
      <x:c r="G139" s="14" t="n">
        <x:f>IF(D139=0,"",F139/D139)</x:f>
        <x:v>0.21739130434782608</x:v>
      </x:c>
    </x:row>
    <x:row r="140" ht="20" customHeight="1">
      <x:c r="A140" s="15" t="n">
        <x:v>136</x:v>
      </x:c>
      <x:c r="B140" s="11" t="str">
        <x:v>Brown Sugar 1kg</x:v>
      </x:c>
      <x:c r="C140" s="27" t="n">
        <x:v>4800361422907</x:v>
      </x:c>
      <x:c r="D140" s="13" t="n">
        <x:v>62</x:v>
      </x:c>
      <x:c r="E140" s="13" t="n">
        <x:v>74</x:v>
      </x:c>
      <x:c r="F140" s="13" t="n">
        <x:f>E140-D140</x:f>
        <x:v>12</x:v>
      </x:c>
      <x:c r="G140" s="14" t="n">
        <x:f>IF(D140=0,"",F140/D140)</x:f>
        <x:v>0.1935483870967742</x:v>
      </x:c>
    </x:row>
    <x:row r="141" ht="20" customHeight="1">
      <x:c r="A141" s="15" t="n">
        <x:v>137</x:v>
      </x:c>
      <x:c r="B141" s="11" t="str">
        <x:v>White Sugar 1kg</x:v>
      </x:c>
      <x:c r="C141" s="27" t="n">
        <x:v>4800361423003</x:v>
      </x:c>
      <x:c r="D141" s="13" t="n">
        <x:v>68</x:v>
      </x:c>
      <x:c r="E141" s="13" t="n">
        <x:v>80</x:v>
      </x:c>
      <x:c r="F141" s="13" t="n">
        <x:f>E141-D141</x:f>
        <x:v>12</x:v>
      </x:c>
      <x:c r="G141" s="14" t="n">
        <x:f>IF(D141=0,"",F141/D141)</x:f>
        <x:v>0.17647058823529413</x:v>
      </x:c>
    </x:row>
    <x:row r="142" ht="20" customHeight="1">
      <x:c r="A142" s="15" t="n">
        <x:v>138</x:v>
      </x:c>
      <x:c r="B142" s="11" t="str">
        <x:v>Rock Salt Iodized 500g</x:v>
      </x:c>
      <x:c r="C142" s="27" t="n">
        <x:v>4800361423102</x:v>
      </x:c>
      <x:c r="D142" s="13" t="n">
        <x:v>14</x:v>
      </x:c>
      <x:c r="E142" s="13" t="n">
        <x:v>18</x:v>
      </x:c>
      <x:c r="F142" s="13" t="n">
        <x:f>E142-D142</x:f>
        <x:v>4</x:v>
      </x:c>
      <x:c r="G142" s="14" t="n">
        <x:f>IF(D142=0,"",F142/D142)</x:f>
        <x:v>0.2857142857142857</x:v>
      </x:c>
    </x:row>
    <x:row r="143" ht="20" customHeight="1">
      <x:c r="A143" s="15" t="n">
        <x:v>139</x:v>
      </x:c>
      <x:c r="B143" s="11" t="str">
        <x:v>Magic Sarap 50g</x:v>
      </x:c>
      <x:c r="C143" s="27" t="n">
        <x:v>4800361423201</x:v>
      </x:c>
      <x:c r="D143" s="13" t="n">
        <x:v>22</x:v>
      </x:c>
      <x:c r="E143" s="13" t="n">
        <x:v>28</x:v>
      </x:c>
      <x:c r="F143" s="13" t="n">
        <x:f>E143-D143</x:f>
        <x:v>6</x:v>
      </x:c>
      <x:c r="G143" s="14" t="n">
        <x:f>IF(D143=0,"",F143/D143)</x:f>
        <x:v>0.2727272727272727</x:v>
      </x:c>
    </x:row>
    <x:row r="144" ht="20" customHeight="1">
      <x:c r="A144" s="15" t="n">
        <x:v>140</x:v>
      </x:c>
      <x:c r="B144" s="11" t="str">
        <x:v>Black Pepper Ground 25g</x:v>
      </x:c>
      <x:c r="C144" s="27" t="n">
        <x:v>4800361423300</x:v>
      </x:c>
      <x:c r="D144" s="13" t="n">
        <x:v>18</x:v>
      </x:c>
      <x:c r="E144" s="13" t="n">
        <x:v>24</x:v>
      </x:c>
      <x:c r="F144" s="13" t="n">
        <x:f>E144-D144</x:f>
        <x:v>6</x:v>
      </x:c>
      <x:c r="G144" s="14" t="n">
        <x:f>IF(D144=0,"",F144/D144)</x:f>
        <x:v>0.3333333333333333</x:v>
      </x:c>
    </x:row>
    <x:row r="145" ht="20" customHeight="1">
      <x:c r="A145" s="15" t="n">
        <x:v>141</x:v>
      </x:c>
      <x:c r="B145" s="11" t="str">
        <x:v>Garlic Powder 40g</x:v>
      </x:c>
      <x:c r="C145" s="27" t="n">
        <x:v>4800361423409</x:v>
      </x:c>
      <x:c r="D145" s="13" t="n">
        <x:v>20</x:v>
      </x:c>
      <x:c r="E145" s="13" t="n">
        <x:v>26</x:v>
      </x:c>
      <x:c r="F145" s="13" t="n">
        <x:f>E145-D145</x:f>
        <x:v>6</x:v>
      </x:c>
      <x:c r="G145" s="14" t="n">
        <x:f>IF(D145=0,"",F145/D145)</x:f>
        <x:v>0.3</x:v>
      </x:c>
    </x:row>
    <x:row r="146" ht="20" customHeight="1">
      <x:c r="A146" s="15" t="n">
        <x:v>142</x:v>
      </x:c>
      <x:c r="B146" s="11" t="str">
        <x:v>Onion Powder 40g</x:v>
      </x:c>
      <x:c r="C146" s="27" t="n">
        <x:v>4800361423508</x:v>
      </x:c>
      <x:c r="D146" s="13" t="n">
        <x:v>20</x:v>
      </x:c>
      <x:c r="E146" s="13" t="n">
        <x:v>26</x:v>
      </x:c>
      <x:c r="F146" s="13" t="n">
        <x:f>E146-D146</x:f>
        <x:v>6</x:v>
      </x:c>
      <x:c r="G146" s="14" t="n">
        <x:f>IF(D146=0,"",F146/D146)</x:f>
        <x:v>0.3</x:v>
      </x:c>
    </x:row>
    <x:row r="147" ht="20" customHeight="1">
      <x:c r="A147" s="15" t="n">
        <x:v>143</x:v>
      </x:c>
      <x:c r="B147" s="11" t="str">
        <x:v>Ginger Tea Salabat 10s</x:v>
      </x:c>
      <x:c r="C147" s="27" t="n">
        <x:v>4800361423607</x:v>
      </x:c>
      <x:c r="D147" s="13" t="n">
        <x:v>36</x:v>
      </x:c>
      <x:c r="E147" s="13" t="n">
        <x:v>45</x:v>
      </x:c>
      <x:c r="F147" s="13" t="n">
        <x:f>E147-D147</x:f>
        <x:v>9</x:v>
      </x:c>
      <x:c r="G147" s="14" t="n">
        <x:f>IF(D147=0,"",F147/D147)</x:f>
        <x:v>0.25</x:v>
      </x:c>
    </x:row>
    <x:row r="148" ht="20" customHeight="1">
      <x:c r="A148" s="15" t="n">
        <x:v>144</x:v>
      </x:c>
      <x:c r="B148" s="11" t="str">
        <x:v>Honey Pure 250ml</x:v>
      </x:c>
      <x:c r="C148" s="27" t="n">
        <x:v>4800361423706</x:v>
      </x:c>
      <x:c r="D148" s="13" t="n">
        <x:v>95</x:v>
      </x:c>
      <x:c r="E148" s="13" t="n">
        <x:v>112</x:v>
      </x:c>
      <x:c r="F148" s="13" t="n">
        <x:f>E148-D148</x:f>
        <x:v>17</x:v>
      </x:c>
      <x:c r="G148" s="14" t="n">
        <x:f>IF(D148=0,"",F148/D148)</x:f>
        <x:v>0.17894736842105263</x:v>
      </x:c>
    </x:row>
    <x:row r="149" ht="20" customHeight="1">
      <x:c r="A149" s="15" t="n">
        <x:v>145</x:v>
      </x:c>
      <x:c r="B149" s="11" t="str">
        <x:v>Peanut Butter Creamy 340g</x:v>
      </x:c>
      <x:c r="C149" s="27" t="n">
        <x:v>4800361423805</x:v>
      </x:c>
      <x:c r="D149" s="13" t="n">
        <x:v>72</x:v>
      </x:c>
      <x:c r="E149" s="13" t="n">
        <x:v>86</x:v>
      </x:c>
      <x:c r="F149" s="13" t="n">
        <x:f>E149-D149</x:f>
        <x:v>14</x:v>
      </x:c>
      <x:c r="G149" s="14" t="n">
        <x:f>IF(D149=0,"",F149/D149)</x:f>
        <x:v>0.19444444444444445</x:v>
      </x:c>
    </x:row>
    <x:row r="150" ht="20" customHeight="1">
      <x:c r="A150" s="15" t="n">
        <x:v>146</x:v>
      </x:c>
      <x:c r="B150" s="11" t="str">
        <x:v>Lily's Peanut Butter 340g</x:v>
      </x:c>
      <x:c r="C150" s="27" t="n">
        <x:v>4800361423904</x:v>
      </x:c>
      <x:c r="D150" s="13" t="n">
        <x:v>76</x:v>
      </x:c>
      <x:c r="E150" s="13" t="n">
        <x:v>90</x:v>
      </x:c>
      <x:c r="F150" s="13" t="n">
        <x:f>E150-D150</x:f>
        <x:v>14</x:v>
      </x:c>
      <x:c r="G150" s="14" t="n">
        <x:f>IF(D150=0,"",F150/D150)</x:f>
        <x:v>0.18421052631578946</x:v>
      </x:c>
    </x:row>
    <x:row r="151" ht="20" customHeight="1">
      <x:c r="A151" s="15" t="n">
        <x:v>147</x:v>
      </x:c>
      <x:c r="B151" s="11" t="str">
        <x:v>Strawberry Jam 250g</x:v>
      </x:c>
      <x:c r="C151" s="27" t="n">
        <x:v>4800361424000</x:v>
      </x:c>
      <x:c r="D151" s="13" t="n">
        <x:v>68</x:v>
      </x:c>
      <x:c r="E151" s="13" t="n">
        <x:v>82</x:v>
      </x:c>
      <x:c r="F151" s="13" t="n">
        <x:f>E151-D151</x:f>
        <x:v>14</x:v>
      </x:c>
      <x:c r="G151" s="14" t="n">
        <x:f>IF(D151=0,"",F151/D151)</x:f>
        <x:v>0.20588235294117646</x:v>
      </x:c>
    </x:row>
    <x:row r="152" ht="20" customHeight="1">
      <x:c r="A152" s="15" t="n">
        <x:v>148</x:v>
      </x:c>
      <x:c r="B152" s="11" t="str">
        <x:v>Ube Jam 250g</x:v>
      </x:c>
      <x:c r="C152" s="27" t="n">
        <x:v>4800361424109</x:v>
      </x:c>
      <x:c r="D152" s="13" t="n">
        <x:v>78</x:v>
      </x:c>
      <x:c r="E152" s="13" t="n">
        <x:v>92</x:v>
      </x:c>
      <x:c r="F152" s="13" t="n">
        <x:f>E152-D152</x:f>
        <x:v>14</x:v>
      </x:c>
      <x:c r="G152" s="14" t="n">
        <x:f>IF(D152=0,"",F152/D152)</x:f>
        <x:v>0.1794871794871795</x:v>
      </x:c>
    </x:row>
    <x:row r="153" ht="20" customHeight="1">
      <x:c r="A153" s="15" t="n">
        <x:v>149</x:v>
      </x:c>
      <x:c r="B153" s="11" t="str">
        <x:v>Corned Tuna 150g</x:v>
      </x:c>
      <x:c r="C153" s="27" t="n">
        <x:v>4800361424208</x:v>
      </x:c>
      <x:c r="D153" s="13" t="n">
        <x:v>34</x:v>
      </x:c>
      <x:c r="E153" s="13" t="n">
        <x:v>42</x:v>
      </x:c>
      <x:c r="F153" s="13" t="n">
        <x:f>E153-D153</x:f>
        <x:v>8</x:v>
      </x:c>
      <x:c r="G153" s="14" t="n">
        <x:f>IF(D153=0,"",F153/D153)</x:f>
        <x:v>0.23529411764705882</x:v>
      </x:c>
    </x:row>
    <x:row r="154" ht="20" customHeight="1">
      <x:c r="A154" s="15" t="n">
        <x:v>150</x:v>
      </x:c>
      <x:c r="B154" s="11" t="str">
        <x:v>Beef Loaf 250g</x:v>
      </x:c>
      <x:c r="C154" s="27" t="n">
        <x:v>4800361424307</x:v>
      </x:c>
      <x:c r="D154" s="13" t="n">
        <x:v>38</x:v>
      </x:c>
      <x:c r="E154" s="13" t="n">
        <x:v>46</x:v>
      </x:c>
      <x:c r="F154" s="13" t="n">
        <x:f>E154-D154</x:f>
        <x:v>8</x:v>
      </x:c>
      <x:c r="G154" s="14" t="n">
        <x:f>IF(D154=0,"",F154/D154)</x:f>
        <x:v>0.21052631578947367</x:v>
      </x:c>
    </x:row>
    <x:row r="155" ht="20" customHeight="1">
      <x:c r="A155" s="15" t="n">
        <x:v>151</x:v>
      </x:c>
      <x:c r="B155" s="11" t="str">
        <x:v>Pork and Beans 220g</x:v>
      </x:c>
      <x:c r="C155" s="27" t="n">
        <x:v>4800361424406</x:v>
      </x:c>
      <x:c r="D155" s="13" t="n">
        <x:v>30</x:v>
      </x:c>
      <x:c r="E155" s="13" t="n">
        <x:v>38</x:v>
      </x:c>
      <x:c r="F155" s="13" t="n">
        <x:f>E155-D155</x:f>
        <x:v>8</x:v>
      </x:c>
      <x:c r="G155" s="14" t="n">
        <x:f>IF(D155=0,"",F155/D155)</x:f>
        <x:v>0.26666666666666666</x:v>
      </x:c>
    </x:row>
    <x:row r="156" ht="20" customHeight="1">
      <x:c r="A156" s="15" t="n">
        <x:v>152</x:v>
      </x:c>
      <x:c r="B156" s="11" t="str">
        <x:v>Baked Beans 220g</x:v>
      </x:c>
      <x:c r="C156" s="27" t="n">
        <x:v>4800361424505</x:v>
      </x:c>
      <x:c r="D156" s="13" t="n">
        <x:v>32</x:v>
      </x:c>
      <x:c r="E156" s="13" t="n">
        <x:v>40</x:v>
      </x:c>
      <x:c r="F156" s="13" t="n">
        <x:f>E156-D156</x:f>
        <x:v>8</x:v>
      </x:c>
      <x:c r="G156" s="14" t="n">
        <x:f>IF(D156=0,"",F156/D156)</x:f>
        <x:v>0.25</x:v>
      </x:c>
    </x:row>
    <x:row r="157" ht="20" customHeight="1">
      <x:c r="A157" s="15" t="n">
        <x:v>153</x:v>
      </x:c>
      <x:c r="B157" s="11" t="str">
        <x:v>Green Peas Can 225g</x:v>
      </x:c>
      <x:c r="C157" s="27" t="n">
        <x:v>4800361424604</x:v>
      </x:c>
      <x:c r="D157" s="13" t="n">
        <x:v>36</x:v>
      </x:c>
      <x:c r="E157" s="13" t="n">
        <x:v>44</x:v>
      </x:c>
      <x:c r="F157" s="13" t="n">
        <x:f>E157-D157</x:f>
        <x:v>8</x:v>
      </x:c>
      <x:c r="G157" s="14" t="n">
        <x:f>IF(D157=0,"",F157/D157)</x:f>
        <x:v>0.2222222222222222</x:v>
      </x:c>
    </x:row>
    <x:row r="158" ht="20" customHeight="1">
      <x:c r="A158" s="15" t="n">
        <x:v>154</x:v>
      </x:c>
      <x:c r="B158" s="11" t="str">
        <x:v>Fruit Cocktail 836g</x:v>
      </x:c>
      <x:c r="C158" s="27" t="n">
        <x:v>4800361424703</x:v>
      </x:c>
      <x:c r="D158" s="13" t="n">
        <x:v>98</x:v>
      </x:c>
      <x:c r="E158" s="13" t="n">
        <x:v>115</x:v>
      </x:c>
      <x:c r="F158" s="13" t="n">
        <x:f>E158-D158</x:f>
        <x:v>17</x:v>
      </x:c>
      <x:c r="G158" s="14" t="n">
        <x:f>IF(D158=0,"",F158/D158)</x:f>
        <x:v>0.17346938775510204</x:v>
      </x:c>
    </x:row>
    <x:row r="159" ht="20" customHeight="1">
      <x:c r="A159" s="15" t="n">
        <x:v>155</x:v>
      </x:c>
      <x:c r="B159" s="11" t="str">
        <x:v>Kaong Red 340g</x:v>
      </x:c>
      <x:c r="C159" s="27" t="n">
        <x:v>4800361424802</x:v>
      </x:c>
      <x:c r="D159" s="13" t="n">
        <x:v>42</x:v>
      </x:c>
      <x:c r="E159" s="13" t="n">
        <x:v>52</x:v>
      </x:c>
      <x:c r="F159" s="13" t="n">
        <x:f>E159-D159</x:f>
        <x:v>10</x:v>
      </x:c>
      <x:c r="G159" s="14" t="n">
        <x:f>IF(D159=0,"",F159/D159)</x:f>
        <x:v>0.23809523809523808</x:v>
      </x:c>
    </x:row>
    <x:row r="160" ht="20" customHeight="1">
      <x:c r="A160" s="15" t="n">
        <x:v>156</x:v>
      </x:c>
      <x:c r="B160" s="11" t="str">
        <x:v>Nata de Coco White 340g</x:v>
      </x:c>
      <x:c r="C160" s="27" t="n">
        <x:v>4800361424901</x:v>
      </x:c>
      <x:c r="D160" s="13" t="n">
        <x:v>40</x:v>
      </x:c>
      <x:c r="E160" s="13" t="n">
        <x:v>50</x:v>
      </x:c>
      <x:c r="F160" s="13" t="n">
        <x:f>E160-D160</x:f>
        <x:v>10</x:v>
      </x:c>
      <x:c r="G160" s="14" t="n">
        <x:f>IF(D160=0,"",F160/D160)</x:f>
        <x:v>0.25</x:v>
      </x:c>
    </x:row>
    <x:row r="161" ht="20" customHeight="1">
      <x:c r="A161" s="15" t="n">
        <x:v>157</x:v>
      </x:c>
      <x:c r="B161" s="11" t="str">
        <x:v>Evaporated Filled Milk 370ml</x:v>
      </x:c>
      <x:c r="C161" s="27" t="n">
        <x:v>4800361425007</x:v>
      </x:c>
      <x:c r="D161" s="13" t="n">
        <x:v>30</x:v>
      </x:c>
      <x:c r="E161" s="13" t="n">
        <x:v>36</x:v>
      </x:c>
      <x:c r="F161" s="13" t="n">
        <x:f>E161-D161</x:f>
        <x:v>6</x:v>
      </x:c>
      <x:c r="G161" s="14" t="n">
        <x:f>IF(D161=0,"",F161/D161)</x:f>
        <x:v>0.2</x:v>
      </x:c>
    </x:row>
    <x:row r="162" ht="20" customHeight="1">
      <x:c r="A162" s="15" t="n">
        <x:v>158</x:v>
      </x:c>
      <x:c r="B162" s="11" t="str">
        <x:v>Sweetened Condensed Creamer 300ml</x:v>
      </x:c>
      <x:c r="C162" s="27" t="n">
        <x:v>4800361425106</x:v>
      </x:c>
      <x:c r="D162" s="13" t="n">
        <x:v>28</x:v>
      </x:c>
      <x:c r="E162" s="13" t="n">
        <x:v>34</x:v>
      </x:c>
      <x:c r="F162" s="13" t="n">
        <x:f>E162-D162</x:f>
        <x:v>6</x:v>
      </x:c>
      <x:c r="G162" s="14" t="n">
        <x:f>IF(D162=0,"",F162/D162)</x:f>
        <x:v>0.21428571428571427</x:v>
      </x:c>
    </x:row>
    <x:row r="163" ht="20" customHeight="1">
      <x:c r="A163" s="15" t="n">
        <x:v>159</x:v>
      </x:c>
      <x:c r="B163" s="11" t="str">
        <x:v>Cornstarch 150g</x:v>
      </x:c>
      <x:c r="C163" s="27" t="n">
        <x:v>4800361425205</x:v>
      </x:c>
      <x:c r="D163" s="13" t="n">
        <x:v>22</x:v>
      </x:c>
      <x:c r="E163" s="13" t="n">
        <x:v>28</x:v>
      </x:c>
      <x:c r="F163" s="13" t="n">
        <x:f>E163-D163</x:f>
        <x:v>6</x:v>
      </x:c>
      <x:c r="G163" s="14" t="n">
        <x:f>IF(D163=0,"",F163/D163)</x:f>
        <x:v>0.2727272727272727</x:v>
      </x:c>
    </x:row>
    <x:row r="164" ht="20" customHeight="1">
      <x:c r="A164" s="15" t="n">
        <x:v>160</x:v>
      </x:c>
      <x:c r="B164" s="11" t="str">
        <x:v>All Purpose Flour 1kg</x:v>
      </x:c>
      <x:c r="C164" s="27" t="n">
        <x:v>4800361425304</x:v>
      </x:c>
      <x:c r="D164" s="13" t="n">
        <x:v>44</x:v>
      </x:c>
      <x:c r="E164" s="13" t="n">
        <x:v>54</x:v>
      </x:c>
      <x:c r="F164" s="13" t="n">
        <x:f>E164-D164</x:f>
        <x:v>10</x:v>
      </x:c>
      <x:c r="G164" s="14" t="n">
        <x:f>IF(D164=0,"",F164/D164)</x:f>
        <x:v>0.22727272727272727</x:v>
      </x:c>
    </x:row>
    <x:row r="165" ht="20" customHeight="1">
      <x:c r="A165" s="15" t="n">
        <x:v>161</x:v>
      </x:c>
      <x:c r="B165" s="11" t="str">
        <x:v>Cake Flour 1kg</x:v>
      </x:c>
      <x:c r="C165" s="27" t="n">
        <x:v>4800361425403</x:v>
      </x:c>
      <x:c r="D165" s="13" t="n">
        <x:v>48</x:v>
      </x:c>
      <x:c r="E165" s="13" t="n">
        <x:v>58</x:v>
      </x:c>
      <x:c r="F165" s="13" t="n">
        <x:f>E165-D165</x:f>
        <x:v>10</x:v>
      </x:c>
      <x:c r="G165" s="14" t="n">
        <x:f>IF(D165=0,"",F165/D165)</x:f>
        <x:v>0.20833333333333334</x:v>
      </x:c>
    </x:row>
    <x:row r="166" ht="20" customHeight="1">
      <x:c r="A166" s="15" t="n">
        <x:v>162</x:v>
      </x:c>
      <x:c r="B166" s="11" t="str">
        <x:v>Bread Crumbs 200g</x:v>
      </x:c>
      <x:c r="C166" s="27" t="n">
        <x:v>4800361425502</x:v>
      </x:c>
      <x:c r="D166" s="13" t="n">
        <x:v>24</x:v>
      </x:c>
      <x:c r="E166" s="13" t="n">
        <x:v>30</x:v>
      </x:c>
      <x:c r="F166" s="13" t="n">
        <x:f>E166-D166</x:f>
        <x:v>6</x:v>
      </x:c>
      <x:c r="G166" s="14" t="n">
        <x:f>IF(D166=0,"",F166/D166)</x:f>
        <x:v>0.25</x:v>
      </x:c>
    </x:row>
    <x:row r="167" ht="20" customHeight="1">
      <x:c r="A167" s="15" t="n">
        <x:v>163</x:v>
      </x:c>
      <x:c r="B167" s="11" t="str">
        <x:v>Pancake Mix 200g</x:v>
      </x:c>
      <x:c r="C167" s="27" t="n">
        <x:v>4800361425601</x:v>
      </x:c>
      <x:c r="D167" s="13" t="n">
        <x:v>28</x:v>
      </x:c>
      <x:c r="E167" s="13" t="n">
        <x:v>35</x:v>
      </x:c>
      <x:c r="F167" s="13" t="n">
        <x:f>E167-D167</x:f>
        <x:v>7</x:v>
      </x:c>
      <x:c r="G167" s="14" t="n">
        <x:f>IF(D167=0,"",F167/D167)</x:f>
        <x:v>0.25</x:v>
      </x:c>
    </x:row>
    <x:row r="168" ht="20" customHeight="1">
      <x:c r="A168" s="15" t="n">
        <x:v>164</x:v>
      </x:c>
      <x:c r="B168" s="11" t="str">
        <x:v>Cheese Powder 50g</x:v>
      </x:c>
      <x:c r="C168" s="27" t="n">
        <x:v>4800361425700</x:v>
      </x:c>
      <x:c r="D168" s="13" t="n">
        <x:v>26</x:v>
      </x:c>
      <x:c r="E168" s="13" t="n">
        <x:v>32</x:v>
      </x:c>
      <x:c r="F168" s="13" t="n">
        <x:f>E168-D168</x:f>
        <x:v>6</x:v>
      </x:c>
      <x:c r="G168" s="14" t="n">
        <x:f>IF(D168=0,"",F168/D168)</x:f>
        <x:v>0.23076923076923078</x:v>
      </x:c>
    </x:row>
    <x:row r="169" ht="20" customHeight="1">
      <x:c r="A169" s="15" t="n">
        <x:v>165</x:v>
      </x:c>
      <x:c r="B169" s="11" t="str">
        <x:v>Soy Milk Drink 250ml</x:v>
      </x:c>
      <x:c r="C169" s="27" t="n">
        <x:v>4800361425809</x:v>
      </x:c>
      <x:c r="D169" s="13" t="n">
        <x:v>18</x:v>
      </x:c>
      <x:c r="E169" s="13" t="n">
        <x:v>24</x:v>
      </x:c>
      <x:c r="F169" s="13" t="n">
        <x:f>E169-D169</x:f>
        <x:v>6</x:v>
      </x:c>
      <x:c r="G169" s="14" t="n">
        <x:f>IF(D169=0,"",F169/D169)</x:f>
        <x:v>0.3333333333333333</x:v>
      </x:c>
    </x:row>
    <x:row r="170" ht="20" customHeight="1">
      <x:c r="A170" s="15" t="n">
        <x:v>166</x:v>
      </x:c>
      <x:c r="B170" s="11" t="str">
        <x:v>Chocolate Syrup 250ml</x:v>
      </x:c>
      <x:c r="C170" s="27" t="n">
        <x:v>4800361425908</x:v>
      </x:c>
      <x:c r="D170" s="13" t="n">
        <x:v>58</x:v>
      </x:c>
      <x:c r="E170" s="13" t="n">
        <x:v>70</x:v>
      </x:c>
      <x:c r="F170" s="13" t="n">
        <x:f>E170-D170</x:f>
        <x:v>12</x:v>
      </x:c>
      <x:c r="G170" s="14" t="n">
        <x:f>IF(D170=0,"",F170/D170)</x:f>
        <x:v>0.20689655172413793</x:v>
      </x:c>
    </x:row>
    <x:row r="171" ht="20" customHeight="1">
      <x:c r="A171" s="15" t="n">
        <x:v>167</x:v>
      </x:c>
      <x:c r="B171" s="11" t="str">
        <x:v>Vanilla Extract 20ml</x:v>
      </x:c>
      <x:c r="C171" s="27" t="n">
        <x:v>4800361426004</x:v>
      </x:c>
      <x:c r="D171" s="13" t="n">
        <x:v>32</x:v>
      </x:c>
      <x:c r="E171" s="13" t="n">
        <x:v>40</x:v>
      </x:c>
      <x:c r="F171" s="13" t="n">
        <x:f>E171-D171</x:f>
        <x:v>8</x:v>
      </x:c>
      <x:c r="G171" s="14" t="n">
        <x:f>IF(D171=0,"",F171/D171)</x:f>
        <x:v>0.25</x:v>
      </x:c>
    </x:row>
    <x:row r="172" ht="20" customHeight="1">
      <x:c r="A172" s="15" t="n">
        <x:v>168</x:v>
      </x:c>
      <x:c r="B172" s="11" t="str">
        <x:v>Mayonnaise Sachet 80ml</x:v>
      </x:c>
      <x:c r="C172" s="27" t="n">
        <x:v>4800361426103</x:v>
      </x:c>
      <x:c r="D172" s="13" t="n">
        <x:v>18</x:v>
      </x:c>
      <x:c r="E172" s="13" t="n">
        <x:v>24</x:v>
      </x:c>
      <x:c r="F172" s="13" t="n">
        <x:f>E172-D172</x:f>
        <x:v>6</x:v>
      </x:c>
      <x:c r="G172" s="14" t="n">
        <x:f>IF(D172=0,"",F172/D172)</x:f>
        <x:v>0.3333333333333333</x:v>
      </x:c>
    </x:row>
    <x:row r="173" ht="20" customHeight="1">
      <x:c r="A173" s="15" t="n">
        <x:v>169</x:v>
      </x:c>
      <x:c r="B173" s="11" t="str">
        <x:v>Sandwich Spread 220ml</x:v>
      </x:c>
      <x:c r="C173" s="27" t="n">
        <x:v>4800361426202</x:v>
      </x:c>
      <x:c r="D173" s="13" t="n">
        <x:v>54</x:v>
      </x:c>
      <x:c r="E173" s="13" t="n">
        <x:v>66</x:v>
      </x:c>
      <x:c r="F173" s="13" t="n">
        <x:f>E173-D173</x:f>
        <x:v>12</x:v>
      </x:c>
      <x:c r="G173" s="14" t="n">
        <x:f>IF(D173=0,"",F173/D173)</x:f>
        <x:v>0.2222222222222222</x:v>
      </x:c>
    </x:row>
    <x:row r="174" ht="20" customHeight="1">
      <x:c r="A174" s="15" t="n">
        <x:v>170</x:v>
      </x:c>
      <x:c r="B174" s="11" t="str">
        <x:v>Hotcake Syrup 250ml</x:v>
      </x:c>
      <x:c r="C174" s="27" t="n">
        <x:v>4800361426301</x:v>
      </x:c>
      <x:c r="D174" s="13" t="n">
        <x:v>48</x:v>
      </x:c>
      <x:c r="E174" s="13" t="n">
        <x:v>60</x:v>
      </x:c>
      <x:c r="F174" s="13" t="n">
        <x:f>E174-D174</x:f>
        <x:v>12</x:v>
      </x:c>
      <x:c r="G174" s="14" t="n">
        <x:f>IF(D174=0,"",F174/D174)</x:f>
        <x:v>0.25</x:v>
      </x:c>
    </x:row>
  </x:sheetData>
  <x:mergeCells>
    <x:mergeCell ref="A1:G1"/>
    <x:mergeCell ref="A2:G2"/>
  </x:mergeCells>
  <x:conditionalFormatting sqref="F5:F174">
    <x:cfRule type="dataBar" priority="1">
      <x:dataBar>
        <x:cfvo type="min"/>
        <x:cfvo type="max"/>
        <x:color rgb="70AD47"/>
      </x:dataBar>
    </x:cfRule>
  </x:conditionalFormatting>
  <x:conditionalFormatting sqref="G5:G174">
    <x:cfRule type="colorScale" priority="2">
      <x:colorScale>
        <x:cfvo type="min"/>
        <x:cfvo type="percentile" val="50"/>
        <x:cfvo type="max"/>
        <x:color rgb="FCE4D6"/>
        <x:color rgb="FFF2CC"/>
        <x:color rgb="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14f540b89924a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</x:cols>
  <x:sheetData>
    <x:row r="1">
      <x:c r="A1" s="26" t="str">
        <x:v>Inventory Price Summary</x:v>
      </x:c>
      <x:c r="B1" s="26"/>
      <x:c r="C1" s="26"/>
      <x:c r="D1" s="4"/>
    </x:row>
    <x:row r="3" ht="22" customHeight="1">
      <x:c r="A3" s="9" t="str">
        <x:v>Metric</x:v>
      </x:c>
      <x:c r="B3" s="9" t="str">
        <x:v>Value</x:v>
      </x:c>
    </x:row>
    <x:row r="4" ht="22" customHeight="1">
      <x:c r="A4" t="str">
        <x:v>Total Products</x:v>
      </x:c>
      <x:c r="B4" s="21" t="n">
        <x:f>COUNTA(Products!B5:B174)</x:f>
        <x:v>170</x:v>
      </x:c>
    </x:row>
    <x:row r="5" ht="22" customHeight="1">
      <x:c r="A5" t="str">
        <x:v>Average Buying Price</x:v>
      </x:c>
      <x:c r="B5" s="20" t="n">
        <x:f>AVERAGE(Products!D5:D174)</x:f>
        <x:v>39.561764705882354</x:v>
      </x:c>
    </x:row>
    <x:row r="6" ht="22" customHeight="1">
      <x:c r="A6" t="str">
        <x:v>Average Selling Price</x:v>
      </x:c>
      <x:c r="B6" s="20" t="n">
        <x:f>AVERAGE(Products!E5:E174)</x:f>
        <x:v>47.851470588235294</x:v>
      </x:c>
    </x:row>
    <x:row r="7" ht="22" customHeight="1">
      <x:c r="A7" t="str">
        <x:v>Average Profit</x:v>
      </x:c>
      <x:c r="B7" s="20" t="n">
        <x:f>AVERAGE(Products!F5:F174)</x:f>
        <x:v>8.28970588235294</x:v>
      </x:c>
    </x:row>
    <x:row r="8" ht="22" customHeight="1">
      <x:c r="A8" t="str">
        <x:v>Highest Selling Price</x:v>
      </x:c>
      <x:c r="B8" s="20" t="n">
        <x:f>MAX(Products!E5:E174)</x:f>
        <x:v>210</x:v>
      </x:c>
    </x:row>
    <x:row r="11">
      <x:c r="A11" s="24" t="str">
        <x:v>Top 10 Highest Selling Price Products</x:v>
      </x:c>
      <x:c r="B11"/>
      <x:c r="C11"/>
    </x:row>
    <x:row r="12">
      <x:c r="A12" s="9" t="str">
        <x:v>Product Name</x:v>
      </x:c>
      <x:c r="B12" s="9" t="str">
        <x:v>Barcode</x:v>
      </x:c>
      <x:c r="C12" s="9" t="str">
        <x:v>Selling Price</x:v>
      </x:c>
    </x:row>
    <x:row r="13">
      <x:c r="A13" t="str">
        <x:v>Purefoods Tender Juicy Hotdog 1kg</x:v>
      </x:c>
      <x:c r="B13" s="25" t="str">
        <x:v>4800361421603</x:v>
      </x:c>
      <x:c r="C13" s="20" t="n">
        <x:v>210</x:v>
      </x:c>
    </x:row>
    <x:row r="14">
      <x:c r="A14" t="str">
        <x:v>Spam Classic 340g</x:v>
      </x:c>
      <x:c r="B14" s="25" t="str">
        <x:v>4800361413004</x:v>
      </x:c>
      <x:c r="C14" s="20" t="n">
        <x:v>185</x:v>
      </x:c>
    </x:row>
    <x:row r="15">
      <x:c r="A15" t="str">
        <x:v>Bear Brand Powdered Milk 300g</x:v>
      </x:c>
      <x:c r="B15" s="25" t="str">
        <x:v>4800361410409</x:v>
      </x:c>
      <x:c r="C15" s="20" t="n">
        <x:v>135</x:v>
      </x:c>
    </x:row>
    <x:row r="16">
      <x:c r="A16" t="str">
        <x:v>Baygon Multi-Insect Killer 300ml</x:v>
      </x:c>
      <x:c r="B16" s="25" t="str">
        <x:v>4800361421108</x:v>
      </x:c>
      <x:c r="C16" s="20" t="n">
        <x:v>130</x:v>
      </x:c>
    </x:row>
    <x:row r="17">
      <x:c r="A17" t="str">
        <x:v>Golden Fiesta Cooking Oil 1L</x:v>
      </x:c>
      <x:c r="B17" s="25" t="str">
        <x:v>4800361422600</x:v>
      </x:c>
      <x:c r="C17" s="20" t="n">
        <x:v>125</x:v>
      </x:c>
    </x:row>
    <x:row r="18">
      <x:c r="A18" t="str">
        <x:v>Fruit Cocktail 836g</x:v>
      </x:c>
      <x:c r="B18" s="25" t="str">
        <x:v>4800361424703</x:v>
      </x:c>
      <x:c r="C18" s="20" t="n">
        <x:v>115</x:v>
      </x:c>
    </x:row>
    <x:row r="19">
      <x:c r="A19" t="str">
        <x:v>Honey Pure 250ml</x:v>
      </x:c>
      <x:c r="B19" s="25" t="str">
        <x:v>4800361423706</x:v>
      </x:c>
      <x:c r="C19" s="20" t="n">
        <x:v>112</x:v>
      </x:c>
    </x:row>
    <x:row r="20">
      <x:c r="A20" t="str">
        <x:v>Palmolive Shampoo 180ml</x:v>
      </x:c>
      <x:c r="B20" s="25" t="str">
        <x:v>4800361410904</x:v>
      </x:c>
      <x:c r="C20" s="20" t="n">
        <x:v>110</x:v>
      </x:c>
    </x:row>
    <x:row r="21">
      <x:c r="A21" t="str">
        <x:v>Nestle Fresh Milk 1L</x:v>
      </x:c>
      <x:c r="B21" s="25" t="str">
        <x:v>4800361418405</x:v>
      </x:c>
      <x:c r="C21" s="20" t="n">
        <x:v>102</x:v>
      </x:c>
    </x:row>
    <x:row r="22">
      <x:c r="A22" t="str">
        <x:v>Purefoods Luncheon Meat 250g</x:v>
      </x:c>
      <x:c r="B22" s="25" t="str">
        <x:v>4800361412908</x:v>
      </x:c>
      <x:c r="C22" s="20" t="n">
        <x:v>102</x:v>
      </x:c>
    </x:row>
  </x:sheetData>
  <x:mergeCells>
    <x:mergeCell ref="A1:D1"/>
    <x:mergeCell ref="A11:C11"/>
  </x:mergeCells>
  <x:pageMargins left="0.7" right="0.7" top="0.75" bottom="0.75" header="0.3" footer="0.3"/>
</x:worksheet>
</file>